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codeName="ThisWorkbook"/>
  <mc:AlternateContent xmlns:mc="http://schemas.openxmlformats.org/markup-compatibility/2006">
    <mc:Choice Requires="x15">
      <x15ac:absPath xmlns:x15ac="http://schemas.microsoft.com/office/spreadsheetml/2010/11/ac" url="C:\Users\tomaz\OneDrive - Univerza v Ljubljani\Documents\Sola\AVBP\AVBP2122\Vaje\AVBP_TS_Vaja5\"/>
    </mc:Choice>
  </mc:AlternateContent>
  <xr:revisionPtr revIDLastSave="0" documentId="8_{65802329-A30E-4B0A-A745-DB338A18061D}" xr6:coauthVersionLast="47" xr6:coauthVersionMax="47" xr10:uidLastSave="{00000000-0000-0000-0000-000000000000}"/>
  <bookViews>
    <workbookView xWindow="15375" yWindow="5040" windowWidth="30945" windowHeight="15300" xr2:uid="{00000000-000D-0000-FFFF-FFFF00000000}"/>
  </bookViews>
  <sheets>
    <sheet name="נפטרים יומי - מצב התחסנות..." sheetId="1" r:id="rId1"/>
  </sheets>
  <definedNames>
    <definedName name="_xlnm._FilterDatabase" localSheetId="0" hidden="1">'נפטרים יומי - מצב התחסנות...'!$A$2:$S$101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7" i="1" l="1"/>
  <c r="AF6" i="1"/>
  <c r="AF5" i="1"/>
  <c r="AF4" i="1"/>
  <c r="AF3" i="1"/>
  <c r="AF31" i="1"/>
  <c r="AF30" i="1"/>
  <c r="AF29" i="1"/>
  <c r="AF28" i="1"/>
  <c r="AF27" i="1"/>
  <c r="AF26" i="1"/>
  <c r="AF25" i="1"/>
  <c r="AF24" i="1"/>
  <c r="AF23" i="1"/>
  <c r="AF22" i="1"/>
  <c r="AF21" i="1"/>
  <c r="AF20" i="1"/>
  <c r="AF19" i="1"/>
  <c r="AF18" i="1"/>
  <c r="AF17" i="1"/>
  <c r="AF16" i="1"/>
  <c r="AF15" i="1"/>
  <c r="AF14" i="1"/>
  <c r="AF13" i="1"/>
  <c r="AF12" i="1"/>
  <c r="AF11" i="1"/>
  <c r="AF10" i="1"/>
  <c r="AF9" i="1"/>
  <c r="AF8" i="1"/>
  <c r="AF32" i="1"/>
  <c r="AD35" i="1"/>
  <c r="AC35" i="1"/>
  <c r="AE35" i="1"/>
  <c r="AD69" i="1"/>
  <c r="AC69" i="1"/>
  <c r="AE69" i="1"/>
  <c r="AD103" i="1"/>
  <c r="AC103" i="1"/>
  <c r="AE103" i="1"/>
  <c r="AR103" i="1"/>
  <c r="AQ103" i="1"/>
  <c r="AP103" i="1"/>
  <c r="AR69" i="1"/>
  <c r="AQ69" i="1"/>
  <c r="AP69" i="1"/>
  <c r="AX100" i="1"/>
  <c r="AX98" i="1"/>
  <c r="AW97" i="1"/>
  <c r="AX96" i="1"/>
  <c r="AW95" i="1"/>
  <c r="AV95" i="1"/>
  <c r="AX94" i="1"/>
  <c r="AW93" i="1"/>
  <c r="AV93" i="1"/>
  <c r="AX92" i="1"/>
  <c r="AX90" i="1"/>
  <c r="AW89" i="1"/>
  <c r="AW87" i="1"/>
  <c r="AX86" i="1"/>
  <c r="AV85" i="1"/>
  <c r="AX84" i="1"/>
  <c r="AX82" i="1"/>
  <c r="AW82" i="1"/>
  <c r="AZ82" i="1" s="1"/>
  <c r="AV80" i="1"/>
  <c r="AX77" i="1"/>
  <c r="AX73" i="1"/>
  <c r="AV66" i="1"/>
  <c r="AW65" i="1"/>
  <c r="AV64" i="1"/>
  <c r="AV62" i="1"/>
  <c r="AX59" i="1"/>
  <c r="AX57" i="1"/>
  <c r="AV54" i="1"/>
  <c r="AX53" i="1"/>
  <c r="AW50" i="1"/>
  <c r="AX45" i="1"/>
  <c r="AW44" i="1"/>
  <c r="AV44" i="1"/>
  <c r="AW42" i="1"/>
  <c r="AV42" i="1"/>
  <c r="AX41" i="1"/>
  <c r="AW40" i="1"/>
  <c r="AW37" i="1"/>
  <c r="AV32" i="1"/>
  <c r="AX31" i="1"/>
  <c r="AX29" i="1"/>
  <c r="AW28" i="1"/>
  <c r="AX27" i="1"/>
  <c r="AW25" i="1"/>
  <c r="AW24" i="1"/>
  <c r="AV24" i="1"/>
  <c r="AX21" i="1"/>
  <c r="AW17" i="1"/>
  <c r="AW16" i="1"/>
  <c r="AV16" i="1"/>
  <c r="AV15" i="1"/>
  <c r="AW14" i="1"/>
  <c r="AV14" i="1"/>
  <c r="AV13" i="1"/>
  <c r="AV12" i="1"/>
  <c r="AX9" i="1"/>
  <c r="AW9" i="1"/>
  <c r="AZ9" i="1" s="1"/>
  <c r="AV7" i="1"/>
  <c r="AV6" i="1"/>
  <c r="AV4" i="1"/>
  <c r="AX3" i="1"/>
  <c r="AV3" i="1"/>
  <c r="AY3" i="1" s="1"/>
  <c r="AR35" i="1"/>
  <c r="AQ35" i="1"/>
  <c r="AP35" i="1"/>
  <c r="AL91" i="1"/>
  <c r="AK91" i="1"/>
  <c r="AN91" i="1" s="1"/>
  <c r="AL74" i="1"/>
  <c r="AK63" i="1"/>
  <c r="AL57" i="1"/>
  <c r="AL53" i="1"/>
  <c r="AL52" i="1"/>
  <c r="AK47" i="1"/>
  <c r="AK44" i="1"/>
  <c r="AJ42" i="1"/>
  <c r="AL41" i="1"/>
  <c r="AL29" i="1"/>
  <c r="AL27" i="1"/>
  <c r="AJ19" i="1"/>
  <c r="AJ14" i="1"/>
  <c r="AL10" i="1"/>
  <c r="AJ10" i="1"/>
  <c r="AK9" i="1"/>
  <c r="AK3" i="1"/>
  <c r="E102" i="1"/>
  <c r="D102" i="1"/>
  <c r="C102" i="1"/>
  <c r="E68" i="1"/>
  <c r="D68" i="1"/>
  <c r="C68" i="1"/>
  <c r="E34" i="1"/>
  <c r="D34" i="1"/>
  <c r="C34" i="1"/>
  <c r="U6" i="1"/>
  <c r="S44" i="1"/>
  <c r="R44" i="1"/>
  <c r="V44" i="1" s="1"/>
  <c r="Q44" i="1"/>
  <c r="U44" i="1" s="1"/>
  <c r="S10" i="1"/>
  <c r="W10" i="1" s="1"/>
  <c r="R10" i="1"/>
  <c r="AW10" i="1" s="1"/>
  <c r="Q10" i="1"/>
  <c r="AV10" i="1" s="1"/>
  <c r="S9" i="1"/>
  <c r="W9" i="1" s="1"/>
  <c r="R9" i="1"/>
  <c r="V9" i="1" s="1"/>
  <c r="Q9" i="1"/>
  <c r="S77" i="1"/>
  <c r="W77" i="1" s="1"/>
  <c r="R77" i="1"/>
  <c r="Q77" i="1"/>
  <c r="S42" i="1"/>
  <c r="R42" i="1"/>
  <c r="V42" i="1" s="1"/>
  <c r="Q42" i="1"/>
  <c r="S8" i="1"/>
  <c r="W8" i="1" s="1"/>
  <c r="R8" i="1"/>
  <c r="V8" i="1" s="1"/>
  <c r="Q8" i="1"/>
  <c r="U8" i="1" s="1"/>
  <c r="S75" i="1"/>
  <c r="R75" i="1"/>
  <c r="V75" i="1" s="1"/>
  <c r="Q75" i="1"/>
  <c r="AJ75" i="1" s="1"/>
  <c r="S41" i="1"/>
  <c r="W41" i="1" s="1"/>
  <c r="R41" i="1"/>
  <c r="Q41" i="1"/>
  <c r="AV41" i="1" s="1"/>
  <c r="S6" i="1"/>
  <c r="R6" i="1"/>
  <c r="AK6" i="1" s="1"/>
  <c r="Q6" i="1"/>
  <c r="AJ6" i="1" s="1"/>
  <c r="S74" i="1"/>
  <c r="W74" i="1" s="1"/>
  <c r="R74" i="1"/>
  <c r="Q74" i="1"/>
  <c r="U74" i="1" s="1"/>
  <c r="S39" i="1"/>
  <c r="R39" i="1"/>
  <c r="V39" i="1" s="1"/>
  <c r="Q39" i="1"/>
  <c r="S73" i="1"/>
  <c r="W73" i="1" s="1"/>
  <c r="R73" i="1"/>
  <c r="Q73" i="1"/>
  <c r="S4" i="1"/>
  <c r="R4" i="1"/>
  <c r="V4" i="1" s="1"/>
  <c r="Q4" i="1"/>
  <c r="U4" i="1" s="1"/>
  <c r="S72" i="1"/>
  <c r="W72" i="1" s="1"/>
  <c r="R72" i="1"/>
  <c r="Q72" i="1"/>
  <c r="AJ72" i="1" s="1"/>
  <c r="S71" i="1"/>
  <c r="R71" i="1"/>
  <c r="AK71" i="1" s="1"/>
  <c r="Q71" i="1"/>
  <c r="S3" i="1"/>
  <c r="W3" i="1" s="1"/>
  <c r="R3" i="1"/>
  <c r="Q3" i="1"/>
  <c r="AJ3" i="1" s="1"/>
  <c r="S32" i="1"/>
  <c r="R32" i="1"/>
  <c r="V32" i="1" s="1"/>
  <c r="Q32" i="1"/>
  <c r="AJ32" i="1" s="1"/>
  <c r="S100" i="1"/>
  <c r="AL100" i="1" s="1"/>
  <c r="R100" i="1"/>
  <c r="Q100" i="1"/>
  <c r="S65" i="1"/>
  <c r="W65" i="1" s="1"/>
  <c r="R65" i="1"/>
  <c r="V65" i="1" s="1"/>
  <c r="Q65" i="1"/>
  <c r="S31" i="1"/>
  <c r="W31" i="1" s="1"/>
  <c r="R31" i="1"/>
  <c r="Q31" i="1"/>
  <c r="S64" i="1"/>
  <c r="R64" i="1"/>
  <c r="Q64" i="1"/>
  <c r="S30" i="1"/>
  <c r="W30" i="1" s="1"/>
  <c r="R30" i="1"/>
  <c r="V30" i="1" s="1"/>
  <c r="Q30" i="1"/>
  <c r="S63" i="1"/>
  <c r="R63" i="1"/>
  <c r="V63" i="1" s="1"/>
  <c r="Q63" i="1"/>
  <c r="AV63" i="1" s="1"/>
  <c r="S29" i="1"/>
  <c r="W29" i="1" s="1"/>
  <c r="R29" i="1"/>
  <c r="Q29" i="1"/>
  <c r="S62" i="1"/>
  <c r="R62" i="1"/>
  <c r="Q62" i="1"/>
  <c r="S96" i="1"/>
  <c r="W96" i="1" s="1"/>
  <c r="R96" i="1"/>
  <c r="Q96" i="1"/>
  <c r="S95" i="1"/>
  <c r="R95" i="1"/>
  <c r="V95" i="1" s="1"/>
  <c r="Q95" i="1"/>
  <c r="AJ95" i="1" s="1"/>
  <c r="S27" i="1"/>
  <c r="W27" i="1" s="1"/>
  <c r="R27" i="1"/>
  <c r="Q27" i="1"/>
  <c r="S26" i="1"/>
  <c r="R26" i="1"/>
  <c r="V26" i="1" s="1"/>
  <c r="Q26" i="1"/>
  <c r="AV26" i="1" s="1"/>
  <c r="S94" i="1"/>
  <c r="W94" i="1" s="1"/>
  <c r="R94" i="1"/>
  <c r="Q94" i="1"/>
  <c r="S93" i="1"/>
  <c r="R93" i="1"/>
  <c r="AK93" i="1" s="1"/>
  <c r="Q93" i="1"/>
  <c r="U93" i="1" s="1"/>
  <c r="S59" i="1"/>
  <c r="W59" i="1" s="1"/>
  <c r="R59" i="1"/>
  <c r="Q59" i="1"/>
  <c r="S24" i="1"/>
  <c r="R24" i="1"/>
  <c r="V24" i="1" s="1"/>
  <c r="Q24" i="1"/>
  <c r="U24" i="1" s="1"/>
  <c r="S58" i="1"/>
  <c r="W58" i="1" s="1"/>
  <c r="R58" i="1"/>
  <c r="Q58" i="1"/>
  <c r="AV58" i="1" s="1"/>
  <c r="S23" i="1"/>
  <c r="R23" i="1"/>
  <c r="V23" i="1" s="1"/>
  <c r="Q23" i="1"/>
  <c r="S91" i="1"/>
  <c r="W91" i="1" s="1"/>
  <c r="R91" i="1"/>
  <c r="Q91" i="1"/>
  <c r="AJ91" i="1" s="1"/>
  <c r="S56" i="1"/>
  <c r="R56" i="1"/>
  <c r="Q56" i="1"/>
  <c r="U56" i="1" s="1"/>
  <c r="S90" i="1"/>
  <c r="W90" i="1" s="1"/>
  <c r="R90" i="1"/>
  <c r="Q90" i="1"/>
  <c r="S89" i="1"/>
  <c r="R89" i="1"/>
  <c r="V89" i="1" s="1"/>
  <c r="Q89" i="1"/>
  <c r="AJ89" i="1" s="1"/>
  <c r="S21" i="1"/>
  <c r="W21" i="1" s="1"/>
  <c r="R21" i="1"/>
  <c r="Q21" i="1"/>
  <c r="S88" i="1"/>
  <c r="R88" i="1"/>
  <c r="Q88" i="1"/>
  <c r="S20" i="1"/>
  <c r="W20" i="1" s="1"/>
  <c r="R20" i="1"/>
  <c r="V20" i="1" s="1"/>
  <c r="Q20" i="1"/>
  <c r="U20" i="1" s="1"/>
  <c r="S87" i="1"/>
  <c r="R87" i="1"/>
  <c r="V87" i="1" s="1"/>
  <c r="Q87" i="1"/>
  <c r="U87" i="1" s="1"/>
  <c r="S53" i="1"/>
  <c r="W53" i="1" s="1"/>
  <c r="R53" i="1"/>
  <c r="Q53" i="1"/>
  <c r="S18" i="1"/>
  <c r="R18" i="1"/>
  <c r="V18" i="1" s="1"/>
  <c r="Q18" i="1"/>
  <c r="AV18" i="1" s="1"/>
  <c r="S86" i="1"/>
  <c r="W86" i="1" s="1"/>
  <c r="R86" i="1"/>
  <c r="Q86" i="1"/>
  <c r="S17" i="1"/>
  <c r="W17" i="1" s="1"/>
  <c r="R17" i="1"/>
  <c r="V17" i="1" s="1"/>
  <c r="Q17" i="1"/>
  <c r="S85" i="1"/>
  <c r="W85" i="1" s="1"/>
  <c r="R85" i="1"/>
  <c r="Q85" i="1"/>
  <c r="AJ85" i="1" s="1"/>
  <c r="S16" i="1"/>
  <c r="R16" i="1"/>
  <c r="V16" i="1" s="1"/>
  <c r="Q16" i="1"/>
  <c r="AJ16" i="1" s="1"/>
  <c r="S84" i="1"/>
  <c r="W84" i="1" s="1"/>
  <c r="R84" i="1"/>
  <c r="Q84" i="1"/>
  <c r="S15" i="1"/>
  <c r="R15" i="1"/>
  <c r="V15" i="1" s="1"/>
  <c r="Q15" i="1"/>
  <c r="AJ15" i="1" s="1"/>
  <c r="S83" i="1"/>
  <c r="W83" i="1" s="1"/>
  <c r="R83" i="1"/>
  <c r="S14" i="1"/>
  <c r="R14" i="1"/>
  <c r="V14" i="1" s="1"/>
  <c r="Q14" i="1"/>
  <c r="U14" i="1" s="1"/>
  <c r="S82" i="1"/>
  <c r="W82" i="1" s="1"/>
  <c r="R82" i="1"/>
  <c r="AK82" i="1" s="1"/>
  <c r="Q82" i="1"/>
  <c r="S13" i="1"/>
  <c r="W13" i="1" s="1"/>
  <c r="R13" i="1"/>
  <c r="Q13" i="1"/>
  <c r="U13" i="1" s="1"/>
  <c r="S81" i="1"/>
  <c r="R81" i="1"/>
  <c r="V81" i="1" s="1"/>
  <c r="S12" i="1"/>
  <c r="R12" i="1"/>
  <c r="V12" i="1" s="1"/>
  <c r="Q12" i="1"/>
  <c r="AJ12" i="1" s="1"/>
  <c r="S80" i="1"/>
  <c r="R80" i="1"/>
  <c r="AW80" i="1" s="1"/>
  <c r="Q80" i="1"/>
  <c r="U80" i="1" s="1"/>
  <c r="S79" i="1"/>
  <c r="R79" i="1"/>
  <c r="S11" i="1"/>
  <c r="R11" i="1"/>
  <c r="V11" i="1" s="1"/>
  <c r="Q11" i="1"/>
  <c r="AJ11" i="1" s="1"/>
  <c r="S78" i="1"/>
  <c r="W78" i="1" s="1"/>
  <c r="R78" i="1"/>
  <c r="Q78" i="1"/>
  <c r="AJ78" i="1" s="1"/>
  <c r="S43" i="1"/>
  <c r="R43" i="1"/>
  <c r="Q43" i="1"/>
  <c r="S76" i="1"/>
  <c r="W76" i="1" s="1"/>
  <c r="R76" i="1"/>
  <c r="Q76" i="1"/>
  <c r="U76" i="1" s="1"/>
  <c r="S7" i="1"/>
  <c r="R7" i="1"/>
  <c r="V7" i="1" s="1"/>
  <c r="Q7" i="1"/>
  <c r="U7" i="1" s="1"/>
  <c r="S40" i="1"/>
  <c r="W40" i="1" s="1"/>
  <c r="R40" i="1"/>
  <c r="V40" i="1" s="1"/>
  <c r="Q40" i="1"/>
  <c r="U40" i="1" s="1"/>
  <c r="S5" i="1"/>
  <c r="W5" i="1" s="1"/>
  <c r="R5" i="1"/>
  <c r="V5" i="1" s="1"/>
  <c r="Q5" i="1"/>
  <c r="S38" i="1"/>
  <c r="W38" i="1" s="1"/>
  <c r="R38" i="1"/>
  <c r="V38" i="1" s="1"/>
  <c r="Q38" i="1"/>
  <c r="AJ38" i="1" s="1"/>
  <c r="S37" i="1"/>
  <c r="W37" i="1" s="1"/>
  <c r="R37" i="1"/>
  <c r="AK37" i="1" s="1"/>
  <c r="Q37" i="1"/>
  <c r="S66" i="1"/>
  <c r="W66" i="1" s="1"/>
  <c r="R66" i="1"/>
  <c r="Q66" i="1"/>
  <c r="U66" i="1" s="1"/>
  <c r="S99" i="1"/>
  <c r="R99" i="1"/>
  <c r="Q99" i="1"/>
  <c r="U99" i="1" s="1"/>
  <c r="S98" i="1"/>
  <c r="W98" i="1" s="1"/>
  <c r="R98" i="1"/>
  <c r="Q98" i="1"/>
  <c r="S97" i="1"/>
  <c r="R97" i="1"/>
  <c r="V97" i="1" s="1"/>
  <c r="Q97" i="1"/>
  <c r="AV97" i="1" s="1"/>
  <c r="S28" i="1"/>
  <c r="W28" i="1" s="1"/>
  <c r="R28" i="1"/>
  <c r="V28" i="1" s="1"/>
  <c r="Y28" i="1" s="1"/>
  <c r="Q28" i="1"/>
  <c r="AV28" i="1" s="1"/>
  <c r="S61" i="1"/>
  <c r="W61" i="1" s="1"/>
  <c r="R61" i="1"/>
  <c r="Q61" i="1"/>
  <c r="S60" i="1"/>
  <c r="W60" i="1" s="1"/>
  <c r="R60" i="1"/>
  <c r="Q60" i="1"/>
  <c r="U60" i="1" s="1"/>
  <c r="S25" i="1"/>
  <c r="W25" i="1" s="1"/>
  <c r="R25" i="1"/>
  <c r="V25" i="1" s="1"/>
  <c r="Q25" i="1"/>
  <c r="S92" i="1"/>
  <c r="W92" i="1" s="1"/>
  <c r="R92" i="1"/>
  <c r="Q92" i="1"/>
  <c r="S57" i="1"/>
  <c r="W57" i="1" s="1"/>
  <c r="R57" i="1"/>
  <c r="Q57" i="1"/>
  <c r="S22" i="1"/>
  <c r="W22" i="1" s="1"/>
  <c r="R22" i="1"/>
  <c r="Q22" i="1"/>
  <c r="AJ22" i="1" s="1"/>
  <c r="S55" i="1"/>
  <c r="R55" i="1"/>
  <c r="V55" i="1" s="1"/>
  <c r="Q55" i="1"/>
  <c r="S54" i="1"/>
  <c r="W54" i="1" s="1"/>
  <c r="R54" i="1"/>
  <c r="Q54" i="1"/>
  <c r="AJ54" i="1" s="1"/>
  <c r="S19" i="1"/>
  <c r="R19" i="1"/>
  <c r="Q19" i="1"/>
  <c r="AV19" i="1" s="1"/>
  <c r="S52" i="1"/>
  <c r="W52" i="1" s="1"/>
  <c r="R52" i="1"/>
  <c r="Q52" i="1"/>
  <c r="AJ52" i="1" s="1"/>
  <c r="AM52" i="1" s="1"/>
  <c r="S51" i="1"/>
  <c r="R51" i="1"/>
  <c r="V51" i="1" s="1"/>
  <c r="Q51" i="1"/>
  <c r="S50" i="1"/>
  <c r="W50" i="1" s="1"/>
  <c r="R50" i="1"/>
  <c r="V50" i="1" s="1"/>
  <c r="Q50" i="1"/>
  <c r="U50" i="1" s="1"/>
  <c r="S49" i="1"/>
  <c r="W49" i="1" s="1"/>
  <c r="R49" i="1"/>
  <c r="Q49" i="1"/>
  <c r="S48" i="1"/>
  <c r="W48" i="1" s="1"/>
  <c r="R48" i="1"/>
  <c r="V48" i="1" s="1"/>
  <c r="Q48" i="1"/>
  <c r="AJ48" i="1" s="1"/>
  <c r="S47" i="1"/>
  <c r="R47" i="1"/>
  <c r="V47" i="1" s="1"/>
  <c r="Q47" i="1"/>
  <c r="S46" i="1"/>
  <c r="W46" i="1" s="1"/>
  <c r="R46" i="1"/>
  <c r="V46" i="1" s="1"/>
  <c r="Q46" i="1"/>
  <c r="AV46" i="1" s="1"/>
  <c r="S45" i="1"/>
  <c r="AL45" i="1" s="1"/>
  <c r="R45" i="1"/>
  <c r="Q45" i="1"/>
  <c r="AM48" i="1" l="1"/>
  <c r="AW35" i="1"/>
  <c r="AY19" i="1"/>
  <c r="AY24" i="1"/>
  <c r="AY97" i="1"/>
  <c r="AM75" i="1"/>
  <c r="W23" i="1"/>
  <c r="AX23" i="1"/>
  <c r="V98" i="1"/>
  <c r="AW98" i="1"/>
  <c r="AZ98" i="1" s="1"/>
  <c r="V84" i="1"/>
  <c r="AW84" i="1"/>
  <c r="AZ84" i="1" s="1"/>
  <c r="V58" i="1"/>
  <c r="AW58" i="1"/>
  <c r="AZ58" i="1" s="1"/>
  <c r="AK58" i="1"/>
  <c r="AN58" i="1" s="1"/>
  <c r="V74" i="1"/>
  <c r="AW74" i="1"/>
  <c r="AZ74" i="1" s="1"/>
  <c r="V45" i="1"/>
  <c r="AW45" i="1"/>
  <c r="AZ45" i="1" s="1"/>
  <c r="V49" i="1"/>
  <c r="AW49" i="1"/>
  <c r="V19" i="1"/>
  <c r="AW19" i="1"/>
  <c r="AZ19" i="1" s="1"/>
  <c r="V57" i="1"/>
  <c r="AW57" i="1"/>
  <c r="AZ57" i="1" s="1"/>
  <c r="V61" i="1"/>
  <c r="AW61" i="1"/>
  <c r="V99" i="1"/>
  <c r="AW99" i="1"/>
  <c r="V43" i="1"/>
  <c r="AW43" i="1"/>
  <c r="AZ43" i="1" s="1"/>
  <c r="W80" i="1"/>
  <c r="AX80" i="1"/>
  <c r="AY80" i="1" s="1"/>
  <c r="V88" i="1"/>
  <c r="AW88" i="1"/>
  <c r="V56" i="1"/>
  <c r="AW56" i="1"/>
  <c r="AZ56" i="1" s="1"/>
  <c r="V62" i="1"/>
  <c r="AW62" i="1"/>
  <c r="AZ62" i="1" s="1"/>
  <c r="V64" i="1"/>
  <c r="AW64" i="1"/>
  <c r="AK24" i="1"/>
  <c r="AJ63" i="1"/>
  <c r="AX17" i="1"/>
  <c r="AZ17" i="1" s="1"/>
  <c r="AX25" i="1"/>
  <c r="AV74" i="1"/>
  <c r="AY74" i="1" s="1"/>
  <c r="AZ87" i="1"/>
  <c r="AF35" i="1"/>
  <c r="W19" i="1"/>
  <c r="Y19" i="1" s="1"/>
  <c r="AX19" i="1"/>
  <c r="W99" i="1"/>
  <c r="AX99" i="1"/>
  <c r="W43" i="1"/>
  <c r="AX43" i="1"/>
  <c r="W16" i="1"/>
  <c r="Y16" i="1" s="1"/>
  <c r="AX16" i="1"/>
  <c r="AY16" i="1" s="1"/>
  <c r="W18" i="1"/>
  <c r="AX18" i="1"/>
  <c r="AY18" i="1" s="1"/>
  <c r="W88" i="1"/>
  <c r="AX88" i="1"/>
  <c r="W56" i="1"/>
  <c r="AX56" i="1"/>
  <c r="W24" i="1"/>
  <c r="AX24" i="1"/>
  <c r="W26" i="1"/>
  <c r="AL26" i="1"/>
  <c r="AX26" i="1"/>
  <c r="AY26" i="1" s="1"/>
  <c r="W62" i="1"/>
  <c r="AX62" i="1"/>
  <c r="W64" i="1"/>
  <c r="AX64" i="1"/>
  <c r="AY64" i="1" s="1"/>
  <c r="W32" i="1"/>
  <c r="Y32" i="1" s="1"/>
  <c r="AX32" i="1"/>
  <c r="AY32" i="1" s="1"/>
  <c r="AX4" i="1"/>
  <c r="AY4" i="1" s="1"/>
  <c r="AL4" i="1"/>
  <c r="W6" i="1"/>
  <c r="AX6" i="1"/>
  <c r="AY6" i="1" s="1"/>
  <c r="W42" i="1"/>
  <c r="AX42" i="1"/>
  <c r="AY42" i="1" s="1"/>
  <c r="W44" i="1"/>
  <c r="AX44" i="1"/>
  <c r="AY44" i="1" s="1"/>
  <c r="AW4" i="1"/>
  <c r="AZ4" i="1" s="1"/>
  <c r="AV11" i="1"/>
  <c r="AY11" i="1" s="1"/>
  <c r="AX37" i="1"/>
  <c r="AZ37" i="1" s="1"/>
  <c r="AW46" i="1"/>
  <c r="AV76" i="1"/>
  <c r="AV89" i="1"/>
  <c r="W97" i="1"/>
  <c r="AX97" i="1"/>
  <c r="AZ97" i="1" s="1"/>
  <c r="U98" i="1"/>
  <c r="AV98" i="1"/>
  <c r="AY98" i="1" s="1"/>
  <c r="U94" i="1"/>
  <c r="AV94" i="1"/>
  <c r="AY94" i="1" s="1"/>
  <c r="V60" i="1"/>
  <c r="AW60" i="1"/>
  <c r="AZ60" i="1" s="1"/>
  <c r="W47" i="1"/>
  <c r="AX47" i="1"/>
  <c r="W87" i="1"/>
  <c r="AX87" i="1"/>
  <c r="AJ90" i="1"/>
  <c r="AM90" i="1" s="1"/>
  <c r="AV90" i="1"/>
  <c r="AY90" i="1" s="1"/>
  <c r="U30" i="1"/>
  <c r="X30" i="1" s="1"/>
  <c r="AJ30" i="1"/>
  <c r="AL13" i="1"/>
  <c r="V52" i="1"/>
  <c r="AK52" i="1"/>
  <c r="AN52" i="1" s="1"/>
  <c r="U82" i="1"/>
  <c r="Q81" i="1"/>
  <c r="AV82" i="1"/>
  <c r="AY82" i="1" s="1"/>
  <c r="V94" i="1"/>
  <c r="AW94" i="1"/>
  <c r="AZ94" i="1" s="1"/>
  <c r="V10" i="1"/>
  <c r="AK10" i="1"/>
  <c r="AZ16" i="1"/>
  <c r="AJ92" i="1"/>
  <c r="AV92" i="1"/>
  <c r="AY92" i="1" s="1"/>
  <c r="W14" i="1"/>
  <c r="AX14" i="1"/>
  <c r="AZ14" i="1" s="1"/>
  <c r="AM91" i="1"/>
  <c r="T31" i="1"/>
  <c r="AV31" i="1"/>
  <c r="AY31" i="1" s="1"/>
  <c r="U73" i="1"/>
  <c r="AV73" i="1"/>
  <c r="AY73" i="1" s="1"/>
  <c r="V92" i="1"/>
  <c r="AW92" i="1"/>
  <c r="AZ92" i="1" s="1"/>
  <c r="V41" i="1"/>
  <c r="AW41" i="1"/>
  <c r="AZ41" i="1" s="1"/>
  <c r="AV78" i="1"/>
  <c r="AY78" i="1" s="1"/>
  <c r="W51" i="1"/>
  <c r="AX51" i="1"/>
  <c r="V13" i="1"/>
  <c r="Y13" i="1" s="1"/>
  <c r="AW13" i="1"/>
  <c r="AZ13" i="1" s="1"/>
  <c r="AJ84" i="1"/>
  <c r="AV84" i="1"/>
  <c r="AY84" i="1" s="1"/>
  <c r="AJ100" i="1"/>
  <c r="AM100" i="1" s="1"/>
  <c r="AV100" i="1"/>
  <c r="AY100" i="1" s="1"/>
  <c r="V86" i="1"/>
  <c r="AK86" i="1"/>
  <c r="AN86" i="1" s="1"/>
  <c r="AW86" i="1"/>
  <c r="AZ86" i="1" s="1"/>
  <c r="V96" i="1"/>
  <c r="AW96" i="1"/>
  <c r="AZ96" i="1" s="1"/>
  <c r="AY85" i="1"/>
  <c r="AN82" i="1"/>
  <c r="AZ24" i="1"/>
  <c r="U53" i="1"/>
  <c r="AV53" i="1"/>
  <c r="AY53" i="1" s="1"/>
  <c r="U21" i="1"/>
  <c r="AV21" i="1"/>
  <c r="AY21" i="1" s="1"/>
  <c r="U59" i="1"/>
  <c r="AV59" i="1"/>
  <c r="AY59" i="1" s="1"/>
  <c r="U27" i="1"/>
  <c r="X27" i="1" s="1"/>
  <c r="AV27" i="1"/>
  <c r="AY27" i="1" s="1"/>
  <c r="U29" i="1"/>
  <c r="AV29" i="1"/>
  <c r="AY29" i="1" s="1"/>
  <c r="AY41" i="1"/>
  <c r="T77" i="1"/>
  <c r="AV77" i="1"/>
  <c r="AY77" i="1" s="1"/>
  <c r="AJ29" i="1"/>
  <c r="AM29" i="1" s="1"/>
  <c r="AW5" i="1"/>
  <c r="AW18" i="1"/>
  <c r="AW26" i="1"/>
  <c r="AV38" i="1"/>
  <c r="AV48" i="1"/>
  <c r="AY48" i="1" s="1"/>
  <c r="V54" i="1"/>
  <c r="AW54" i="1"/>
  <c r="AZ54" i="1" s="1"/>
  <c r="V66" i="1"/>
  <c r="AW66" i="1"/>
  <c r="V78" i="1"/>
  <c r="AW78" i="1"/>
  <c r="W12" i="1"/>
  <c r="Y12" i="1" s="1"/>
  <c r="AX12" i="1"/>
  <c r="AY12" i="1" s="1"/>
  <c r="V83" i="1"/>
  <c r="AW83" i="1"/>
  <c r="V85" i="1"/>
  <c r="AW85" i="1"/>
  <c r="AZ85" i="1" s="1"/>
  <c r="V53" i="1"/>
  <c r="AW53" i="1"/>
  <c r="AZ53" i="1" s="1"/>
  <c r="V21" i="1"/>
  <c r="Y21" i="1" s="1"/>
  <c r="AW21" i="1"/>
  <c r="AZ21" i="1" s="1"/>
  <c r="V91" i="1"/>
  <c r="AW91" i="1"/>
  <c r="V59" i="1"/>
  <c r="AW59" i="1"/>
  <c r="AZ59" i="1" s="1"/>
  <c r="V27" i="1"/>
  <c r="Y27" i="1" s="1"/>
  <c r="AW27" i="1"/>
  <c r="AZ27" i="1" s="1"/>
  <c r="V29" i="1"/>
  <c r="Y29" i="1" s="1"/>
  <c r="AW29" i="1"/>
  <c r="AZ29" i="1" s="1"/>
  <c r="V31" i="1"/>
  <c r="AW31" i="1"/>
  <c r="AZ31" i="1" s="1"/>
  <c r="V3" i="1"/>
  <c r="Y3" i="1" s="1"/>
  <c r="AW3" i="1"/>
  <c r="AZ3" i="1" s="1"/>
  <c r="V73" i="1"/>
  <c r="AW73" i="1"/>
  <c r="AZ73" i="1" s="1"/>
  <c r="V77" i="1"/>
  <c r="AW77" i="1"/>
  <c r="AZ77" i="1" s="1"/>
  <c r="V6" i="1"/>
  <c r="AK4" i="1"/>
  <c r="AN4" i="1" s="1"/>
  <c r="AX5" i="1"/>
  <c r="AW12" i="1"/>
  <c r="AZ12" i="1" s="1"/>
  <c r="AW38" i="1"/>
  <c r="AW48" i="1"/>
  <c r="AZ48" i="1" s="1"/>
  <c r="AV60" i="1"/>
  <c r="AY60" i="1" s="1"/>
  <c r="AV99" i="1"/>
  <c r="AY99" i="1" s="1"/>
  <c r="AK5" i="1"/>
  <c r="AJ41" i="1"/>
  <c r="AM41" i="1" s="1"/>
  <c r="AL80" i="1"/>
  <c r="AV20" i="1"/>
  <c r="AV40" i="1"/>
  <c r="AX49" i="1"/>
  <c r="AX61" i="1"/>
  <c r="AV91" i="1"/>
  <c r="AY91" i="1" s="1"/>
  <c r="W95" i="1"/>
  <c r="AX95" i="1"/>
  <c r="AZ95" i="1" s="1"/>
  <c r="U58" i="1"/>
  <c r="AJ58" i="1"/>
  <c r="V22" i="1"/>
  <c r="AK22" i="1"/>
  <c r="AV47" i="1"/>
  <c r="AY47" i="1" s="1"/>
  <c r="AJ47" i="1"/>
  <c r="AJ51" i="1"/>
  <c r="AV51" i="1"/>
  <c r="AY51" i="1" s="1"/>
  <c r="U55" i="1"/>
  <c r="AV55" i="1"/>
  <c r="U25" i="1"/>
  <c r="X25" i="1" s="1"/>
  <c r="AV25" i="1"/>
  <c r="AY25" i="1" s="1"/>
  <c r="U97" i="1"/>
  <c r="AJ97" i="1"/>
  <c r="U37" i="1"/>
  <c r="AV37" i="1"/>
  <c r="W81" i="1"/>
  <c r="AX81" i="1"/>
  <c r="AY81" i="1" s="1"/>
  <c r="AJ17" i="1"/>
  <c r="AV17" i="1"/>
  <c r="AY17" i="1" s="1"/>
  <c r="U23" i="1"/>
  <c r="AV23" i="1"/>
  <c r="AY23" i="1" s="1"/>
  <c r="AM95" i="1"/>
  <c r="U65" i="1"/>
  <c r="AV65" i="1"/>
  <c r="AJ71" i="1"/>
  <c r="AV71" i="1"/>
  <c r="AJ39" i="1"/>
  <c r="AV39" i="1"/>
  <c r="U75" i="1"/>
  <c r="AV75" i="1"/>
  <c r="U9" i="1"/>
  <c r="AJ9" i="1"/>
  <c r="AV9" i="1"/>
  <c r="AY9" i="1" s="1"/>
  <c r="AW6" i="1"/>
  <c r="AX13" i="1"/>
  <c r="AY13" i="1" s="1"/>
  <c r="AW20" i="1"/>
  <c r="AZ40" i="1"/>
  <c r="AV50" i="1"/>
  <c r="AY62" i="1"/>
  <c r="AY7" i="1"/>
  <c r="AY14" i="1"/>
  <c r="AZ50" i="1"/>
  <c r="AY93" i="1"/>
  <c r="W15" i="1"/>
  <c r="AX15" i="1"/>
  <c r="AY15" i="1" s="1"/>
  <c r="W93" i="1"/>
  <c r="AX93" i="1"/>
  <c r="AL71" i="1"/>
  <c r="AN71" i="1" s="1"/>
  <c r="AX71" i="1"/>
  <c r="W39" i="1"/>
  <c r="AX39" i="1"/>
  <c r="AL39" i="1"/>
  <c r="W75" i="1"/>
  <c r="AX75" i="1"/>
  <c r="AN44" i="1"/>
  <c r="AV8" i="1"/>
  <c r="AV22" i="1"/>
  <c r="AV30" i="1"/>
  <c r="AV52" i="1"/>
  <c r="AY52" i="1" s="1"/>
  <c r="AZ93" i="1"/>
  <c r="W55" i="1"/>
  <c r="AX55" i="1"/>
  <c r="U86" i="1"/>
  <c r="AJ86" i="1"/>
  <c r="AV86" i="1"/>
  <c r="AY86" i="1" s="1"/>
  <c r="AW8" i="1"/>
  <c r="AW22" i="1"/>
  <c r="AW30" i="1"/>
  <c r="AZ42" i="1"/>
  <c r="AW52" i="1"/>
  <c r="AZ52" i="1" s="1"/>
  <c r="AX65" i="1"/>
  <c r="AZ65" i="1" s="1"/>
  <c r="AM38" i="1"/>
  <c r="AJ96" i="1"/>
  <c r="AM96" i="1" s="1"/>
  <c r="AV96" i="1"/>
  <c r="AY96" i="1" s="1"/>
  <c r="W11" i="1"/>
  <c r="Y11" i="1" s="1"/>
  <c r="AX11" i="1"/>
  <c r="W63" i="1"/>
  <c r="AX63" i="1"/>
  <c r="AY63" i="1" s="1"/>
  <c r="AW79" i="1"/>
  <c r="W79" i="1"/>
  <c r="AX79" i="1"/>
  <c r="AY79" i="1" s="1"/>
  <c r="V72" i="1"/>
  <c r="AW72" i="1"/>
  <c r="AZ72" i="1" s="1"/>
  <c r="W7" i="1"/>
  <c r="AX7" i="1"/>
  <c r="W89" i="1"/>
  <c r="AX89" i="1"/>
  <c r="AZ89" i="1" s="1"/>
  <c r="V76" i="1"/>
  <c r="AW76" i="1"/>
  <c r="AZ76" i="1" s="1"/>
  <c r="V90" i="1"/>
  <c r="AW90" i="1"/>
  <c r="AZ90" i="1" s="1"/>
  <c r="V100" i="1"/>
  <c r="AW100" i="1"/>
  <c r="AZ100" i="1" s="1"/>
  <c r="AV72" i="1"/>
  <c r="U45" i="1"/>
  <c r="AV45" i="1"/>
  <c r="AY45" i="1" s="1"/>
  <c r="T49" i="1"/>
  <c r="AV49" i="1"/>
  <c r="T57" i="1"/>
  <c r="AV57" i="1"/>
  <c r="AY57" i="1" s="1"/>
  <c r="U61" i="1"/>
  <c r="AV61" i="1"/>
  <c r="AY61" i="1" s="1"/>
  <c r="U5" i="1"/>
  <c r="X5" i="1" s="1"/>
  <c r="AV5" i="1"/>
  <c r="U43" i="1"/>
  <c r="AV43" i="1"/>
  <c r="AY43" i="1" s="1"/>
  <c r="V80" i="1"/>
  <c r="AK80" i="1"/>
  <c r="T18" i="1"/>
  <c r="T88" i="1"/>
  <c r="AV88" i="1"/>
  <c r="T26" i="1"/>
  <c r="AK19" i="1"/>
  <c r="AN19" i="1" s="1"/>
  <c r="AZ25" i="1"/>
  <c r="AW32" i="1"/>
  <c r="AZ32" i="1" s="1"/>
  <c r="AV56" i="1"/>
  <c r="AY56" i="1" s="1"/>
  <c r="AV87" i="1"/>
  <c r="AY87" i="1" s="1"/>
  <c r="T62" i="1"/>
  <c r="AM10" i="1"/>
  <c r="AX10" i="1"/>
  <c r="AY10" i="1" s="1"/>
  <c r="AX22" i="1"/>
  <c r="AX30" i="1"/>
  <c r="AX38" i="1"/>
  <c r="AX46" i="1"/>
  <c r="AY46" i="1" s="1"/>
  <c r="AX50" i="1"/>
  <c r="AX54" i="1"/>
  <c r="AY54" i="1" s="1"/>
  <c r="AX58" i="1"/>
  <c r="AY58" i="1" s="1"/>
  <c r="AX66" i="1"/>
  <c r="AY66" i="1" s="1"/>
  <c r="AX74" i="1"/>
  <c r="AX78" i="1"/>
  <c r="AX83" i="1"/>
  <c r="AX91" i="1"/>
  <c r="AW7" i="1"/>
  <c r="AZ7" i="1" s="1"/>
  <c r="AW11" i="1"/>
  <c r="AZ11" i="1" s="1"/>
  <c r="AW15" i="1"/>
  <c r="AZ15" i="1" s="1"/>
  <c r="AW23" i="1"/>
  <c r="AZ23" i="1" s="1"/>
  <c r="AW39" i="1"/>
  <c r="AW47" i="1"/>
  <c r="AW51" i="1"/>
  <c r="AW55" i="1"/>
  <c r="AW63" i="1"/>
  <c r="AZ63" i="1" s="1"/>
  <c r="AW71" i="1"/>
  <c r="AW75" i="1"/>
  <c r="AL96" i="1"/>
  <c r="AX8" i="1"/>
  <c r="AX20" i="1"/>
  <c r="AX28" i="1"/>
  <c r="AY28" i="1" s="1"/>
  <c r="AX40" i="1"/>
  <c r="AX48" i="1"/>
  <c r="AX52" i="1"/>
  <c r="AX60" i="1"/>
  <c r="AX72" i="1"/>
  <c r="AX76" i="1"/>
  <c r="AW81" i="1"/>
  <c r="AZ81" i="1" s="1"/>
  <c r="AX85" i="1"/>
  <c r="Q79" i="1"/>
  <c r="T79" i="1" s="1"/>
  <c r="AN10" i="1"/>
  <c r="AJ35" i="1"/>
  <c r="AL8" i="1"/>
  <c r="AM8" i="1" s="1"/>
  <c r="T64" i="1"/>
  <c r="AL3" i="1"/>
  <c r="AM3" i="1" s="1"/>
  <c r="AK14" i="1"/>
  <c r="AN14" i="1" s="1"/>
  <c r="AL19" i="1"/>
  <c r="AM19" i="1" s="1"/>
  <c r="AJ25" i="1"/>
  <c r="AK30" i="1"/>
  <c r="AJ37" i="1"/>
  <c r="AK42" i="1"/>
  <c r="AL47" i="1"/>
  <c r="AN47" i="1" s="1"/>
  <c r="AJ53" i="1"/>
  <c r="AM53" i="1" s="1"/>
  <c r="AL63" i="1"/>
  <c r="AN63" i="1" s="1"/>
  <c r="AK75" i="1"/>
  <c r="AN75" i="1" s="1"/>
  <c r="AK81" i="1"/>
  <c r="AL86" i="1"/>
  <c r="AK97" i="1"/>
  <c r="AN97" i="1" s="1"/>
  <c r="U22" i="1"/>
  <c r="AJ4" i="1"/>
  <c r="AL14" i="1"/>
  <c r="AM14" i="1" s="1"/>
  <c r="AJ20" i="1"/>
  <c r="AK25" i="1"/>
  <c r="AL30" i="1"/>
  <c r="AL42" i="1"/>
  <c r="AM42" i="1" s="1"/>
  <c r="AK53" i="1"/>
  <c r="AN53" i="1" s="1"/>
  <c r="AL58" i="1"/>
  <c r="AJ64" i="1"/>
  <c r="AL75" i="1"/>
  <c r="AL81" i="1"/>
  <c r="AM81" i="1" s="1"/>
  <c r="AJ87" i="1"/>
  <c r="AK92" i="1"/>
  <c r="AL97" i="1"/>
  <c r="AL9" i="1"/>
  <c r="AK20" i="1"/>
  <c r="AL25" i="1"/>
  <c r="AJ31" i="1"/>
  <c r="AM31" i="1" s="1"/>
  <c r="AL37" i="1"/>
  <c r="AN37" i="1" s="1"/>
  <c r="AJ43" i="1"/>
  <c r="AK48" i="1"/>
  <c r="AJ59" i="1"/>
  <c r="AK64" i="1"/>
  <c r="AJ76" i="1"/>
  <c r="AJ82" i="1"/>
  <c r="AM82" i="1" s="1"/>
  <c r="AK87" i="1"/>
  <c r="AL92" i="1"/>
  <c r="AJ98" i="1"/>
  <c r="AM98" i="1" s="1"/>
  <c r="AL24" i="1"/>
  <c r="AK15" i="1"/>
  <c r="AN15" i="1" s="1"/>
  <c r="AL20" i="1"/>
  <c r="AJ26" i="1"/>
  <c r="AM26" i="1" s="1"/>
  <c r="AK31" i="1"/>
  <c r="AK43" i="1"/>
  <c r="AL48" i="1"/>
  <c r="AK59" i="1"/>
  <c r="AL64" i="1"/>
  <c r="AK76" i="1"/>
  <c r="AL87" i="1"/>
  <c r="AJ93" i="1"/>
  <c r="AM93" i="1" s="1"/>
  <c r="AK98" i="1"/>
  <c r="AN98" i="1" s="1"/>
  <c r="Y31" i="1"/>
  <c r="W100" i="1"/>
  <c r="AJ5" i="1"/>
  <c r="AL15" i="1"/>
  <c r="AM15" i="1" s="1"/>
  <c r="AJ21" i="1"/>
  <c r="AK26" i="1"/>
  <c r="AN26" i="1" s="1"/>
  <c r="AL31" i="1"/>
  <c r="AK38" i="1"/>
  <c r="AL43" i="1"/>
  <c r="AJ49" i="1"/>
  <c r="AK54" i="1"/>
  <c r="AN54" i="1" s="1"/>
  <c r="AL59" i="1"/>
  <c r="AJ65" i="1"/>
  <c r="AL76" i="1"/>
  <c r="AL82" i="1"/>
  <c r="AJ88" i="1"/>
  <c r="AL98" i="1"/>
  <c r="AK8" i="1"/>
  <c r="AN8" i="1" s="1"/>
  <c r="AK21" i="1"/>
  <c r="AL38" i="1"/>
  <c r="AJ44" i="1"/>
  <c r="AM44" i="1" s="1"/>
  <c r="AK49" i="1"/>
  <c r="AL54" i="1"/>
  <c r="AM54" i="1" s="1"/>
  <c r="AJ60" i="1"/>
  <c r="AM60" i="1" s="1"/>
  <c r="AK65" i="1"/>
  <c r="AJ77" i="1"/>
  <c r="AM77" i="1" s="1"/>
  <c r="AK88" i="1"/>
  <c r="AN88" i="1" s="1"/>
  <c r="AL93" i="1"/>
  <c r="AN93" i="1" s="1"/>
  <c r="AJ99" i="1"/>
  <c r="AL5" i="1"/>
  <c r="AM5" i="1" s="1"/>
  <c r="AK16" i="1"/>
  <c r="AL21" i="1"/>
  <c r="AJ27" i="1"/>
  <c r="AM27" i="1" s="1"/>
  <c r="AK32" i="1"/>
  <c r="AN32" i="1" s="1"/>
  <c r="AL49" i="1"/>
  <c r="AJ55" i="1"/>
  <c r="AM55" i="1" s="1"/>
  <c r="AK60" i="1"/>
  <c r="AN60" i="1" s="1"/>
  <c r="AL65" i="1"/>
  <c r="AK77" i="1"/>
  <c r="AK83" i="1"/>
  <c r="AL88" i="1"/>
  <c r="AJ94" i="1"/>
  <c r="AK99" i="1"/>
  <c r="T46" i="1"/>
  <c r="T28" i="1"/>
  <c r="X21" i="1"/>
  <c r="X29" i="1"/>
  <c r="AK11" i="1"/>
  <c r="AN11" i="1" s="1"/>
  <c r="AL16" i="1"/>
  <c r="AM16" i="1" s="1"/>
  <c r="AK27" i="1"/>
  <c r="AN27" i="1" s="1"/>
  <c r="AL32" i="1"/>
  <c r="AM32" i="1" s="1"/>
  <c r="AK39" i="1"/>
  <c r="AL44" i="1"/>
  <c r="AJ50" i="1"/>
  <c r="AK55" i="1"/>
  <c r="AL60" i="1"/>
  <c r="AJ66" i="1"/>
  <c r="AK72" i="1"/>
  <c r="AN72" i="1" s="1"/>
  <c r="AL77" i="1"/>
  <c r="AL83" i="1"/>
  <c r="AK94" i="1"/>
  <c r="AN94" i="1" s="1"/>
  <c r="AL99" i="1"/>
  <c r="AL11" i="1"/>
  <c r="AM11" i="1" s="1"/>
  <c r="AJ45" i="1"/>
  <c r="AM45" i="1" s="1"/>
  <c r="AK50" i="1"/>
  <c r="AL55" i="1"/>
  <c r="AJ61" i="1"/>
  <c r="AK66" i="1"/>
  <c r="AN66" i="1" s="1"/>
  <c r="AL72" i="1"/>
  <c r="AM72" i="1" s="1"/>
  <c r="AK89" i="1"/>
  <c r="AL94" i="1"/>
  <c r="AL6" i="1"/>
  <c r="AK17" i="1"/>
  <c r="AL22" i="1"/>
  <c r="AM22" i="1" s="1"/>
  <c r="AJ28" i="1"/>
  <c r="AM28" i="1" s="1"/>
  <c r="AJ40" i="1"/>
  <c r="AK45" i="1"/>
  <c r="AN45" i="1" s="1"/>
  <c r="AL50" i="1"/>
  <c r="AJ56" i="1"/>
  <c r="AK61" i="1"/>
  <c r="AL66" i="1"/>
  <c r="AJ73" i="1"/>
  <c r="AK78" i="1"/>
  <c r="AK84" i="1"/>
  <c r="AL89" i="1"/>
  <c r="AM89" i="1" s="1"/>
  <c r="AK100" i="1"/>
  <c r="AN100" i="1" s="1"/>
  <c r="AJ7" i="1"/>
  <c r="AK12" i="1"/>
  <c r="AL17" i="1"/>
  <c r="AJ23" i="1"/>
  <c r="AK28" i="1"/>
  <c r="AK40" i="1"/>
  <c r="AN40" i="1" s="1"/>
  <c r="AK56" i="1"/>
  <c r="AL61" i="1"/>
  <c r="AK73" i="1"/>
  <c r="AL78" i="1"/>
  <c r="AM78" i="1" s="1"/>
  <c r="AL84" i="1"/>
  <c r="AK95" i="1"/>
  <c r="AN95" i="1" s="1"/>
  <c r="AK7" i="1"/>
  <c r="AL12" i="1"/>
  <c r="AM12" i="1" s="1"/>
  <c r="AJ18" i="1"/>
  <c r="AK23" i="1"/>
  <c r="AL28" i="1"/>
  <c r="AL40" i="1"/>
  <c r="AJ46" i="1"/>
  <c r="AK51" i="1"/>
  <c r="AL56" i="1"/>
  <c r="AJ62" i="1"/>
  <c r="AL73" i="1"/>
  <c r="AK79" i="1"/>
  <c r="AN79" i="1" s="1"/>
  <c r="AK90" i="1"/>
  <c r="AN90" i="1" s="1"/>
  <c r="AL95" i="1"/>
  <c r="AL7" i="1"/>
  <c r="AJ13" i="1"/>
  <c r="AK18" i="1"/>
  <c r="AL23" i="1"/>
  <c r="AK46" i="1"/>
  <c r="AL51" i="1"/>
  <c r="AJ57" i="1"/>
  <c r="AM57" i="1" s="1"/>
  <c r="AK62" i="1"/>
  <c r="AJ74" i="1"/>
  <c r="AM74" i="1" s="1"/>
  <c r="AL79" i="1"/>
  <c r="AM79" i="1" s="1"/>
  <c r="AK85" i="1"/>
  <c r="AN85" i="1" s="1"/>
  <c r="AL90" i="1"/>
  <c r="AJ8" i="1"/>
  <c r="AK13" i="1"/>
  <c r="AN13" i="1" s="1"/>
  <c r="AL18" i="1"/>
  <c r="AJ24" i="1"/>
  <c r="AK29" i="1"/>
  <c r="AN29" i="1" s="1"/>
  <c r="AK41" i="1"/>
  <c r="AN41" i="1" s="1"/>
  <c r="AL46" i="1"/>
  <c r="AK57" i="1"/>
  <c r="AN57" i="1" s="1"/>
  <c r="AL62" i="1"/>
  <c r="AK74" i="1"/>
  <c r="AN74" i="1" s="1"/>
  <c r="AJ80" i="1"/>
  <c r="AM80" i="1" s="1"/>
  <c r="AL85" i="1"/>
  <c r="AM85" i="1" s="1"/>
  <c r="AK96" i="1"/>
  <c r="T42" i="1"/>
  <c r="T47" i="1"/>
  <c r="T89" i="1"/>
  <c r="T63" i="1"/>
  <c r="T11" i="1"/>
  <c r="Y24" i="1"/>
  <c r="T95" i="1"/>
  <c r="Y30" i="1"/>
  <c r="T39" i="1"/>
  <c r="T54" i="1"/>
  <c r="Y25" i="1"/>
  <c r="T82" i="1"/>
  <c r="Q83" i="1" s="1"/>
  <c r="T85" i="1"/>
  <c r="T3" i="1"/>
  <c r="U49" i="1"/>
  <c r="U64" i="1"/>
  <c r="X14" i="1"/>
  <c r="T96" i="1"/>
  <c r="Y6" i="1"/>
  <c r="Y14" i="1"/>
  <c r="T17" i="1"/>
  <c r="T71" i="1"/>
  <c r="Y7" i="1"/>
  <c r="T80" i="1"/>
  <c r="Y17" i="1"/>
  <c r="T91" i="1"/>
  <c r="T93" i="1"/>
  <c r="R102" i="1"/>
  <c r="V103" i="1" s="1"/>
  <c r="S102" i="1"/>
  <c r="W103" i="1" s="1"/>
  <c r="T6" i="1"/>
  <c r="U71" i="1"/>
  <c r="T22" i="1"/>
  <c r="T86" i="1"/>
  <c r="T72" i="1"/>
  <c r="T45" i="1"/>
  <c r="T51" i="1"/>
  <c r="T37" i="1"/>
  <c r="T12" i="1"/>
  <c r="T15" i="1"/>
  <c r="X23" i="1"/>
  <c r="X9" i="1"/>
  <c r="U11" i="1"/>
  <c r="X11" i="1" s="1"/>
  <c r="U39" i="1"/>
  <c r="U95" i="1"/>
  <c r="R68" i="1"/>
  <c r="V69" i="1" s="1"/>
  <c r="Y15" i="1"/>
  <c r="Y23" i="1"/>
  <c r="T41" i="1"/>
  <c r="Y9" i="1"/>
  <c r="T14" i="1"/>
  <c r="T52" i="1"/>
  <c r="T38" i="1"/>
  <c r="T84" i="1"/>
  <c r="Y18" i="1"/>
  <c r="Y26" i="1"/>
  <c r="T100" i="1"/>
  <c r="T10" i="1"/>
  <c r="U42" i="1"/>
  <c r="U96" i="1"/>
  <c r="X22" i="1"/>
  <c r="S34" i="1"/>
  <c r="T75" i="1"/>
  <c r="U15" i="1"/>
  <c r="X15" i="1" s="1"/>
  <c r="T92" i="1"/>
  <c r="T78" i="1"/>
  <c r="T13" i="1"/>
  <c r="T53" i="1"/>
  <c r="T27" i="1"/>
  <c r="T73" i="1"/>
  <c r="U78" i="1"/>
  <c r="T61" i="1"/>
  <c r="T19" i="1"/>
  <c r="T16" i="1"/>
  <c r="T32" i="1"/>
  <c r="U17" i="1"/>
  <c r="X17" i="1" s="1"/>
  <c r="V79" i="1"/>
  <c r="T87" i="1"/>
  <c r="T48" i="1"/>
  <c r="Y5" i="1"/>
  <c r="T90" i="1"/>
  <c r="U47" i="1"/>
  <c r="U63" i="1"/>
  <c r="T99" i="1"/>
  <c r="Y8" i="1"/>
  <c r="Y10" i="1"/>
  <c r="X20" i="1"/>
  <c r="X24" i="1"/>
  <c r="X8" i="1"/>
  <c r="U31" i="1"/>
  <c r="X31" i="1" s="1"/>
  <c r="W45" i="1"/>
  <c r="U51" i="1"/>
  <c r="V82" i="1"/>
  <c r="U88" i="1"/>
  <c r="V93" i="1"/>
  <c r="S68" i="1"/>
  <c r="AL69" i="1" s="1"/>
  <c r="T4" i="1"/>
  <c r="T20" i="1"/>
  <c r="T55" i="1"/>
  <c r="T74" i="1"/>
  <c r="W4" i="1"/>
  <c r="Y4" i="1" s="1"/>
  <c r="U10" i="1"/>
  <c r="X10" i="1" s="1"/>
  <c r="U26" i="1"/>
  <c r="X26" i="1" s="1"/>
  <c r="U46" i="1"/>
  <c r="U62" i="1"/>
  <c r="V71" i="1"/>
  <c r="T5" i="1"/>
  <c r="T21" i="1"/>
  <c r="T40" i="1"/>
  <c r="T56" i="1"/>
  <c r="T94" i="1"/>
  <c r="U41" i="1"/>
  <c r="U57" i="1"/>
  <c r="W71" i="1"/>
  <c r="U77" i="1"/>
  <c r="T76" i="1"/>
  <c r="U16" i="1"/>
  <c r="X16" i="1" s="1"/>
  <c r="U32" i="1"/>
  <c r="X32" i="1" s="1"/>
  <c r="U52" i="1"/>
  <c r="U72" i="1"/>
  <c r="U89" i="1"/>
  <c r="T7" i="1"/>
  <c r="T23" i="1"/>
  <c r="T58" i="1"/>
  <c r="U84" i="1"/>
  <c r="U100" i="1"/>
  <c r="T8" i="1"/>
  <c r="T24" i="1"/>
  <c r="T43" i="1"/>
  <c r="T59" i="1"/>
  <c r="T97" i="1"/>
  <c r="T9" i="1"/>
  <c r="T25" i="1"/>
  <c r="T44" i="1"/>
  <c r="T60" i="1"/>
  <c r="T98" i="1"/>
  <c r="U90" i="1"/>
  <c r="Y22" i="1"/>
  <c r="X6" i="1"/>
  <c r="U12" i="1"/>
  <c r="X12" i="1" s="1"/>
  <c r="U28" i="1"/>
  <c r="X28" i="1" s="1"/>
  <c r="V37" i="1"/>
  <c r="U48" i="1"/>
  <c r="U85" i="1"/>
  <c r="Q34" i="1"/>
  <c r="AV35" i="1" s="1"/>
  <c r="X7" i="1"/>
  <c r="R34" i="1"/>
  <c r="AK35" i="1" s="1"/>
  <c r="U18" i="1"/>
  <c r="U38" i="1"/>
  <c r="U54" i="1"/>
  <c r="U91" i="1"/>
  <c r="T29" i="1"/>
  <c r="T81" i="1"/>
  <c r="T65" i="1"/>
  <c r="T50" i="1"/>
  <c r="T66" i="1"/>
  <c r="X13" i="1"/>
  <c r="U19" i="1"/>
  <c r="U92" i="1"/>
  <c r="T30" i="1"/>
  <c r="U3" i="1"/>
  <c r="X3" i="1" s="1"/>
  <c r="Q68" i="1"/>
  <c r="Y20" i="1"/>
  <c r="AY35" i="1" l="1"/>
  <c r="AZ35" i="1"/>
  <c r="AM65" i="1"/>
  <c r="AM24" i="1"/>
  <c r="AN61" i="1"/>
  <c r="AN38" i="1"/>
  <c r="AN92" i="1"/>
  <c r="AM25" i="1"/>
  <c r="AX69" i="1"/>
  <c r="AZ22" i="1"/>
  <c r="AY30" i="1"/>
  <c r="AY71" i="1"/>
  <c r="AY20" i="1"/>
  <c r="AZ18" i="1"/>
  <c r="AZ49" i="1"/>
  <c r="AZ80" i="1"/>
  <c r="X18" i="1"/>
  <c r="AM18" i="1"/>
  <c r="AN28" i="1"/>
  <c r="AM56" i="1"/>
  <c r="AM61" i="1"/>
  <c r="AN55" i="1"/>
  <c r="AN99" i="1"/>
  <c r="AN21" i="1"/>
  <c r="AN59" i="1"/>
  <c r="AM76" i="1"/>
  <c r="AM87" i="1"/>
  <c r="AZ55" i="1"/>
  <c r="AW69" i="1"/>
  <c r="AZ69" i="1" s="1"/>
  <c r="AN80" i="1"/>
  <c r="AZ8" i="1"/>
  <c r="AY22" i="1"/>
  <c r="AZ28" i="1"/>
  <c r="AM71" i="1"/>
  <c r="AY37" i="1"/>
  <c r="AZ44" i="1"/>
  <c r="AZ5" i="1"/>
  <c r="AN78" i="1"/>
  <c r="Q102" i="1"/>
  <c r="U103" i="1" s="1"/>
  <c r="AM23" i="1"/>
  <c r="AY65" i="1"/>
  <c r="AN73" i="1"/>
  <c r="AN23" i="1"/>
  <c r="AM50" i="1"/>
  <c r="AN22" i="1"/>
  <c r="AN96" i="1"/>
  <c r="AM7" i="1"/>
  <c r="AM17" i="1"/>
  <c r="AN50" i="1"/>
  <c r="AM99" i="1"/>
  <c r="AM21" i="1"/>
  <c r="AN43" i="1"/>
  <c r="AM59" i="1"/>
  <c r="AZ47" i="1"/>
  <c r="AY72" i="1"/>
  <c r="AY8" i="1"/>
  <c r="AM97" i="1"/>
  <c r="AZ91" i="1"/>
  <c r="AZ78" i="1"/>
  <c r="AN24" i="1"/>
  <c r="AN84" i="1"/>
  <c r="AN25" i="1"/>
  <c r="AZ79" i="1"/>
  <c r="AN89" i="1"/>
  <c r="AM94" i="1"/>
  <c r="AN64" i="1"/>
  <c r="AZ51" i="1"/>
  <c r="AZ20" i="1"/>
  <c r="AM63" i="1"/>
  <c r="AZ10" i="1"/>
  <c r="X19" i="1"/>
  <c r="AN12" i="1"/>
  <c r="AM40" i="1"/>
  <c r="AN39" i="1"/>
  <c r="AN83" i="1"/>
  <c r="AM88" i="1"/>
  <c r="AN31" i="1"/>
  <c r="AN48" i="1"/>
  <c r="AM64" i="1"/>
  <c r="AN81" i="1"/>
  <c r="AZ39" i="1"/>
  <c r="AM86" i="1"/>
  <c r="AZ6" i="1"/>
  <c r="AM58" i="1"/>
  <c r="AM84" i="1"/>
  <c r="AY89" i="1"/>
  <c r="AM4" i="1"/>
  <c r="AZ64" i="1"/>
  <c r="AZ99" i="1"/>
  <c r="AN20" i="1"/>
  <c r="AN77" i="1"/>
  <c r="AM43" i="1"/>
  <c r="AY5" i="1"/>
  <c r="AZ66" i="1"/>
  <c r="AY76" i="1"/>
  <c r="AY95" i="1"/>
  <c r="AZ46" i="1"/>
  <c r="AZ61" i="1"/>
  <c r="AY55" i="1"/>
  <c r="AY75" i="1"/>
  <c r="AZ38" i="1"/>
  <c r="AX103" i="1"/>
  <c r="AN65" i="1"/>
  <c r="AN62" i="1"/>
  <c r="AN42" i="1"/>
  <c r="AM73" i="1"/>
  <c r="AN49" i="1"/>
  <c r="AM9" i="1"/>
  <c r="AM20" i="1"/>
  <c r="AM37" i="1"/>
  <c r="AZ75" i="1"/>
  <c r="AY88" i="1"/>
  <c r="AY39" i="1"/>
  <c r="AM51" i="1"/>
  <c r="AY38" i="1"/>
  <c r="AM13" i="1"/>
  <c r="AZ88" i="1"/>
  <c r="AM62" i="1"/>
  <c r="AN51" i="1"/>
  <c r="AM49" i="1"/>
  <c r="AJ69" i="1"/>
  <c r="AM69" i="1" s="1"/>
  <c r="AV69" i="1"/>
  <c r="AY69" i="1" s="1"/>
  <c r="W35" i="1"/>
  <c r="AX35" i="1"/>
  <c r="AN46" i="1"/>
  <c r="AM46" i="1"/>
  <c r="AN56" i="1"/>
  <c r="AM66" i="1"/>
  <c r="AN76" i="1"/>
  <c r="AN87" i="1"/>
  <c r="AN30" i="1"/>
  <c r="AZ71" i="1"/>
  <c r="AW103" i="1"/>
  <c r="AY49" i="1"/>
  <c r="AZ30" i="1"/>
  <c r="AY50" i="1"/>
  <c r="AM39" i="1"/>
  <c r="AM47" i="1"/>
  <c r="AY40" i="1"/>
  <c r="AZ83" i="1"/>
  <c r="AZ26" i="1"/>
  <c r="AM92" i="1"/>
  <c r="AM30" i="1"/>
  <c r="AN17" i="1"/>
  <c r="AJ83" i="1"/>
  <c r="AM83" i="1" s="1"/>
  <c r="AV83" i="1"/>
  <c r="AY83" i="1" s="1"/>
  <c r="AV103" i="1"/>
  <c r="AM6" i="1"/>
  <c r="AN6" i="1"/>
  <c r="AN9" i="1"/>
  <c r="AN16" i="1"/>
  <c r="T83" i="1"/>
  <c r="AN5" i="1"/>
  <c r="AN18" i="1"/>
  <c r="AN7" i="1"/>
  <c r="AN3" i="1"/>
  <c r="AL103" i="1"/>
  <c r="AJ103" i="1"/>
  <c r="AM103" i="1" s="1"/>
  <c r="AK103" i="1"/>
  <c r="AL35" i="1"/>
  <c r="AM35" i="1" s="1"/>
  <c r="AK69" i="1"/>
  <c r="AN69" i="1" s="1"/>
  <c r="X103" i="1"/>
  <c r="V35" i="1"/>
  <c r="Y35" i="1" s="1"/>
  <c r="U35" i="1"/>
  <c r="X35" i="1" s="1"/>
  <c r="T34" i="1"/>
  <c r="S35" i="1" s="1"/>
  <c r="Y103" i="1"/>
  <c r="T68" i="1"/>
  <c r="R69" i="1" s="1"/>
  <c r="U69" i="1"/>
  <c r="W69" i="1"/>
  <c r="Y69" i="1" s="1"/>
  <c r="X4" i="1"/>
  <c r="T102" i="1"/>
  <c r="Q103" i="1" s="1"/>
  <c r="AZ103" i="1" l="1"/>
  <c r="AN103" i="1"/>
  <c r="AY103" i="1"/>
  <c r="Q35" i="1"/>
  <c r="AN35" i="1"/>
  <c r="S69" i="1"/>
  <c r="X69" i="1"/>
  <c r="Q69" i="1"/>
  <c r="R35" i="1"/>
  <c r="S103" i="1"/>
  <c r="R103" i="1"/>
</calcChain>
</file>

<file path=xl/sharedStrings.xml><?xml version="1.0" encoding="utf-8"?>
<sst xmlns="http://schemas.openxmlformats.org/spreadsheetml/2006/main" count="614" uniqueCount="75">
  <si>
    <t>10-08-2021</t>
  </si>
  <si>
    <t>מעל גיל 60</t>
  </si>
  <si>
    <t>כלל האוכלוסיה</t>
  </si>
  <si>
    <t>מתחת לגיל 60</t>
  </si>
  <si>
    <t>11-08-2021</t>
  </si>
  <si>
    <t>12-08-2021</t>
  </si>
  <si>
    <t>13-08-2021</t>
  </si>
  <si>
    <t>14-08-2021</t>
  </si>
  <si>
    <t>15-08-2021</t>
  </si>
  <si>
    <t>16-08-2021</t>
  </si>
  <si>
    <t>17-08-2021</t>
  </si>
  <si>
    <t>18-08-2021</t>
  </si>
  <si>
    <t>19-08-2021</t>
  </si>
  <si>
    <t>20-08-2021</t>
  </si>
  <si>
    <t>21-08-2021</t>
  </si>
  <si>
    <t>22-08-2021</t>
  </si>
  <si>
    <t>23-08-2021</t>
  </si>
  <si>
    <t>24-08-2021</t>
  </si>
  <si>
    <t>25-08-2021</t>
  </si>
  <si>
    <t>26-08-2021</t>
  </si>
  <si>
    <t>27-08-2021</t>
  </si>
  <si>
    <t>28-08-2021</t>
  </si>
  <si>
    <t>29-08-2021</t>
  </si>
  <si>
    <t>30-08-2021</t>
  </si>
  <si>
    <t>31-08-2021</t>
  </si>
  <si>
    <t>01-09-2021</t>
  </si>
  <si>
    <t>02-09-2021</t>
  </si>
  <si>
    <t>03-09-2021</t>
  </si>
  <si>
    <t>04-09-2021</t>
  </si>
  <si>
    <t>05-09-2021</t>
  </si>
  <si>
    <t>06-09-2021</t>
  </si>
  <si>
    <t>07-09-2021</t>
  </si>
  <si>
    <t>08-09-2021</t>
  </si>
  <si>
    <t>boost</t>
  </si>
  <si>
    <t>vax</t>
  </si>
  <si>
    <t>unvax</t>
  </si>
  <si>
    <t>b_per100k</t>
  </si>
  <si>
    <t>v_per100k</t>
  </si>
  <si>
    <t>unv_per100k</t>
  </si>
  <si>
    <t>booster</t>
  </si>
  <si>
    <t>booster per 100k</t>
  </si>
  <si>
    <t>vax per 100k</t>
  </si>
  <si>
    <t>unva per 100k</t>
  </si>
  <si>
    <t>age group</t>
  </si>
  <si>
    <t>date</t>
  </si>
  <si>
    <t>age gropu</t>
  </si>
  <si>
    <t>boost_N</t>
  </si>
  <si>
    <t>vax_N</t>
  </si>
  <si>
    <t>unvax_N</t>
  </si>
  <si>
    <t>Total</t>
  </si>
  <si>
    <t>all</t>
  </si>
  <si>
    <t>VE_vax</t>
  </si>
  <si>
    <t>VE_boost</t>
  </si>
  <si>
    <t>population</t>
  </si>
  <si>
    <t>deaths</t>
  </si>
  <si>
    <t>vaccinations</t>
  </si>
  <si>
    <t>Inferred population numbers</t>
  </si>
  <si>
    <t>&gt;60</t>
  </si>
  <si>
    <t>&lt;60</t>
  </si>
  <si>
    <t>Notes:</t>
  </si>
  <si>
    <t>order of age groups per date differ across spreadsheets for vaccinations/severe cases/deaths so had to be sorted separately and collated.</t>
  </si>
  <si>
    <t>boosted</t>
  </si>
  <si>
    <t>boost_per100k</t>
  </si>
  <si>
    <t>vax_per100k</t>
  </si>
  <si>
    <t>unvax_per100k</t>
  </si>
  <si>
    <t>vax_per_100k</t>
  </si>
  <si>
    <t>unvax_per_100k</t>
  </si>
  <si>
    <t>severe cases</t>
  </si>
  <si>
    <t xml:space="preserve">critical cases? </t>
  </si>
  <si>
    <t>Age group</t>
  </si>
  <si>
    <t>NOTE: CORRECTED INACCURATE TOTALS ON AE10, AE9</t>
  </si>
  <si>
    <t>Combined together worksheets from ministry website on vaccinations (upper right), serious cases (upper middle), deaths (second last from bottom, left),  we also have  total vaccinations, not by age (middle, 3rd from top) and number per day (right, third from top)</t>
  </si>
  <si>
    <t>General population</t>
  </si>
  <si>
    <t>Over 60</t>
  </si>
  <si>
    <t>Below 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</si>
</sst>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3" x14ac:knownFonts="1">
    <font>
      <sz val="12"/>
      <color theme="1"/>
      <name val="Calibri"/>
      <family val="2"/>
      <scheme val="minor"/>
    </font>
    <font>
      <b/>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applyNumberFormat="1"/>
    <xf numFmtId="3" fontId="0" fillId="0" borderId="0" xfId="0" applyNumberFormat="1"/>
    <xf numFmtId="14" fontId="0" fillId="0" borderId="0" xfId="0" applyNumberFormat="1"/>
    <xf numFmtId="164" fontId="0" fillId="0" borderId="0" xfId="0" applyNumberFormat="1"/>
    <xf numFmtId="0" fontId="1" fillId="0" borderId="0" xfId="0" applyNumberFormat="1" applyFont="1"/>
    <xf numFmtId="14" fontId="1" fillId="0" borderId="0" xfId="0" applyNumberFormat="1" applyFont="1"/>
    <xf numFmtId="3" fontId="1" fillId="0" borderId="0" xfId="0" applyNumberFormat="1" applyFont="1"/>
    <xf numFmtId="164" fontId="1" fillId="0" borderId="0" xfId="0" applyNumberFormat="1" applyFont="1"/>
    <xf numFmtId="165" fontId="1" fillId="0" borderId="0" xfId="0" applyNumberFormat="1" applyFont="1"/>
    <xf numFmtId="165"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105"/>
  <sheetViews>
    <sheetView tabSelected="1" workbookViewId="0">
      <selection activeCell="AP2" sqref="AP2"/>
    </sheetView>
  </sheetViews>
  <sheetFormatPr defaultColWidth="11" defaultRowHeight="15.75" x14ac:dyDescent="0.25"/>
  <cols>
    <col min="8" max="8" width="11" customWidth="1"/>
    <col min="9" max="9" width="10.875" style="2"/>
    <col min="10" max="10" width="15.875" customWidth="1"/>
    <col min="13" max="13" width="16" customWidth="1"/>
    <col min="14" max="14" width="6.375" customWidth="1"/>
    <col min="17" max="20" width="10.875" style="1"/>
    <col min="21" max="23" width="10.875" style="9"/>
    <col min="24" max="25" width="10.875" style="3"/>
    <col min="36" max="38" width="10.875" style="9"/>
    <col min="48" max="50" width="10.875" style="9"/>
  </cols>
  <sheetData>
    <row r="1" spans="1:52" s="4" customFormat="1" x14ac:dyDescent="0.25">
      <c r="E1" s="4" t="s">
        <v>54</v>
      </c>
      <c r="I1" s="5"/>
      <c r="M1" s="4" t="s">
        <v>55</v>
      </c>
      <c r="Q1" s="6"/>
      <c r="R1" s="6" t="s">
        <v>56</v>
      </c>
      <c r="S1" s="6"/>
      <c r="T1" s="6"/>
      <c r="U1" s="8"/>
      <c r="V1" s="8"/>
      <c r="W1" s="8"/>
      <c r="X1" s="7"/>
      <c r="Y1" s="7"/>
      <c r="AE1" s="4" t="s">
        <v>67</v>
      </c>
      <c r="AJ1" s="8"/>
      <c r="AK1" s="8"/>
      <c r="AL1" s="8"/>
      <c r="AR1" s="4" t="s">
        <v>68</v>
      </c>
      <c r="AV1" s="8"/>
      <c r="AW1" s="8"/>
      <c r="AX1" s="8"/>
    </row>
    <row r="2" spans="1:52" s="4" customFormat="1" x14ac:dyDescent="0.25">
      <c r="A2" s="4" t="s">
        <v>44</v>
      </c>
      <c r="B2" s="4" t="s">
        <v>45</v>
      </c>
      <c r="C2" s="4" t="s">
        <v>33</v>
      </c>
      <c r="D2" s="4" t="s">
        <v>34</v>
      </c>
      <c r="E2" s="4" t="s">
        <v>35</v>
      </c>
      <c r="F2" s="4" t="s">
        <v>36</v>
      </c>
      <c r="G2" s="4" t="s">
        <v>37</v>
      </c>
      <c r="H2" s="4" t="s">
        <v>38</v>
      </c>
      <c r="I2" s="5" t="s">
        <v>44</v>
      </c>
      <c r="J2" s="4" t="s">
        <v>43</v>
      </c>
      <c r="K2" s="4" t="s">
        <v>39</v>
      </c>
      <c r="L2" s="4" t="s">
        <v>34</v>
      </c>
      <c r="M2" s="4" t="s">
        <v>35</v>
      </c>
      <c r="N2" s="4" t="s">
        <v>40</v>
      </c>
      <c r="O2" s="4" t="s">
        <v>41</v>
      </c>
      <c r="P2" s="4" t="s">
        <v>42</v>
      </c>
      <c r="Q2" s="6" t="s">
        <v>46</v>
      </c>
      <c r="R2" s="6" t="s">
        <v>47</v>
      </c>
      <c r="S2" s="6" t="s">
        <v>48</v>
      </c>
      <c r="T2" s="6" t="s">
        <v>53</v>
      </c>
      <c r="U2" s="8" t="s">
        <v>36</v>
      </c>
      <c r="V2" s="8" t="s">
        <v>37</v>
      </c>
      <c r="W2" s="8" t="s">
        <v>38</v>
      </c>
      <c r="X2" s="7" t="s">
        <v>52</v>
      </c>
      <c r="Y2" s="7" t="s">
        <v>51</v>
      </c>
      <c r="AA2" s="4" t="s">
        <v>44</v>
      </c>
      <c r="AB2" s="4" t="s">
        <v>69</v>
      </c>
      <c r="AC2" s="4" t="s">
        <v>61</v>
      </c>
      <c r="AD2" s="4" t="s">
        <v>34</v>
      </c>
      <c r="AE2" s="4" t="s">
        <v>35</v>
      </c>
      <c r="AG2" s="4" t="s">
        <v>62</v>
      </c>
      <c r="AH2" s="4" t="s">
        <v>63</v>
      </c>
      <c r="AI2" s="4" t="s">
        <v>64</v>
      </c>
      <c r="AJ2" s="8" t="s">
        <v>36</v>
      </c>
      <c r="AK2" s="8" t="s">
        <v>37</v>
      </c>
      <c r="AL2" s="8" t="s">
        <v>38</v>
      </c>
      <c r="AM2" s="7" t="s">
        <v>52</v>
      </c>
      <c r="AN2" s="7" t="s">
        <v>51</v>
      </c>
      <c r="AO2" s="7"/>
      <c r="AP2" s="4" t="s">
        <v>61</v>
      </c>
      <c r="AQ2" s="4" t="s">
        <v>34</v>
      </c>
      <c r="AR2" s="4" t="s">
        <v>35</v>
      </c>
      <c r="AS2" s="4" t="s">
        <v>62</v>
      </c>
      <c r="AT2" s="4" t="s">
        <v>65</v>
      </c>
      <c r="AU2" s="4" t="s">
        <v>66</v>
      </c>
      <c r="AV2" s="8" t="s">
        <v>36</v>
      </c>
      <c r="AW2" s="8" t="s">
        <v>37</v>
      </c>
      <c r="AX2" s="8" t="s">
        <v>38</v>
      </c>
      <c r="AY2" s="7" t="s">
        <v>52</v>
      </c>
      <c r="AZ2" s="7" t="s">
        <v>51</v>
      </c>
    </row>
    <row r="3" spans="1:52" x14ac:dyDescent="0.25">
      <c r="A3" t="s">
        <v>25</v>
      </c>
      <c r="B3" t="s">
        <v>72</v>
      </c>
      <c r="C3">
        <v>5</v>
      </c>
      <c r="D3">
        <v>8</v>
      </c>
      <c r="E3">
        <v>16</v>
      </c>
      <c r="F3">
        <v>0.3</v>
      </c>
      <c r="G3">
        <v>0.2</v>
      </c>
      <c r="H3">
        <v>0.5</v>
      </c>
      <c r="I3" s="2" t="s">
        <v>25</v>
      </c>
      <c r="J3" t="s">
        <v>72</v>
      </c>
      <c r="K3">
        <v>364</v>
      </c>
      <c r="L3">
        <v>4192</v>
      </c>
      <c r="M3">
        <v>6381</v>
      </c>
      <c r="N3">
        <v>20.5</v>
      </c>
      <c r="O3">
        <v>107.3</v>
      </c>
      <c r="P3">
        <v>189.9</v>
      </c>
      <c r="Q3" s="1">
        <f t="shared" ref="Q3:S4" si="0">K3*100000/(N3+0.0000000001)</f>
        <v>1775609.7560888997</v>
      </c>
      <c r="R3" s="1">
        <f t="shared" si="0"/>
        <v>3906803.3550755763</v>
      </c>
      <c r="S3" s="1">
        <f t="shared" si="0"/>
        <v>3360189.5734579465</v>
      </c>
      <c r="T3" s="1">
        <f>SUM(Q3:S3)</f>
        <v>9042602.6846224219</v>
      </c>
      <c r="U3" s="9">
        <f>C3/Q3*100000</f>
        <v>0.28159340659478016</v>
      </c>
      <c r="V3" s="9">
        <f>D3/R3*100000</f>
        <v>0.20477099236660304</v>
      </c>
      <c r="W3" s="9">
        <f>E3/S3*100000</f>
        <v>0.47616361071957369</v>
      </c>
      <c r="X3" s="3">
        <f>1-U3/W3</f>
        <v>0.40862048200357226</v>
      </c>
      <c r="Y3" s="3">
        <f>1-V3/W3</f>
        <v>0.56995665406443985</v>
      </c>
      <c r="AA3" t="s">
        <v>25</v>
      </c>
      <c r="AB3" t="s">
        <v>2</v>
      </c>
      <c r="AC3">
        <v>68</v>
      </c>
      <c r="AD3">
        <v>222</v>
      </c>
      <c r="AE3">
        <v>380</v>
      </c>
      <c r="AF3">
        <f t="shared" ref="AF3:AF7" si="1">AE37+AE71</f>
        <v>380</v>
      </c>
      <c r="AG3">
        <v>3.8</v>
      </c>
      <c r="AH3">
        <v>5.7</v>
      </c>
      <c r="AI3">
        <v>11.3</v>
      </c>
      <c r="AJ3" s="9">
        <f>AC3/Q3*100000</f>
        <v>3.8296703296890109</v>
      </c>
      <c r="AK3" s="9">
        <f>AD3/R3*100000</f>
        <v>5.6823950381732349</v>
      </c>
      <c r="AL3" s="9">
        <f>AE3/S3*100000</f>
        <v>11.308885754589875</v>
      </c>
      <c r="AM3" s="3">
        <f>1-AJ3/AL3</f>
        <v>0.66135741285257188</v>
      </c>
      <c r="AN3" s="3">
        <f>1-AK3/AL3</f>
        <v>0.49752830106476653</v>
      </c>
      <c r="AO3" s="3"/>
      <c r="AP3">
        <v>1</v>
      </c>
      <c r="AQ3">
        <v>8</v>
      </c>
      <c r="AR3">
        <v>17</v>
      </c>
      <c r="AS3">
        <v>0.1</v>
      </c>
      <c r="AT3">
        <v>0.2</v>
      </c>
      <c r="AU3">
        <v>0.5</v>
      </c>
      <c r="AV3" s="9">
        <f>AP3/Q3*100000</f>
        <v>5.6318681318956038E-2</v>
      </c>
      <c r="AW3" s="9">
        <f>AQ3/R3*100000</f>
        <v>0.20477099236660304</v>
      </c>
      <c r="AX3" s="9">
        <f>AR3/S3*100000</f>
        <v>0.50592383638954708</v>
      </c>
      <c r="AY3" s="3">
        <f>1-AV3/AX3</f>
        <v>0.88868150249479005</v>
      </c>
      <c r="AZ3" s="3">
        <f>1-AW3/AX3</f>
        <v>0.59525332147241405</v>
      </c>
    </row>
    <row r="4" spans="1:52" x14ac:dyDescent="0.25">
      <c r="A4" t="s">
        <v>26</v>
      </c>
      <c r="B4" t="s">
        <v>72</v>
      </c>
      <c r="C4">
        <v>5</v>
      </c>
      <c r="D4">
        <v>9</v>
      </c>
      <c r="E4">
        <v>14</v>
      </c>
      <c r="F4">
        <v>0.3</v>
      </c>
      <c r="G4">
        <v>0.2</v>
      </c>
      <c r="H4">
        <v>0.4</v>
      </c>
      <c r="I4" s="2" t="s">
        <v>26</v>
      </c>
      <c r="J4" t="s">
        <v>72</v>
      </c>
      <c r="K4">
        <v>434</v>
      </c>
      <c r="L4">
        <v>3933</v>
      </c>
      <c r="M4">
        <v>6606</v>
      </c>
      <c r="N4">
        <v>23.1</v>
      </c>
      <c r="O4">
        <v>103.1</v>
      </c>
      <c r="P4">
        <v>197.4</v>
      </c>
      <c r="Q4" s="1">
        <f t="shared" si="0"/>
        <v>1878787.8787797454</v>
      </c>
      <c r="R4" s="1">
        <f t="shared" si="0"/>
        <v>3814742.9679885404</v>
      </c>
      <c r="S4" s="1">
        <f t="shared" si="0"/>
        <v>3346504.5592688215</v>
      </c>
      <c r="T4" s="1">
        <f t="shared" ref="T4:T32" si="2">SUM(Q4:S4)</f>
        <v>9040035.4060371071</v>
      </c>
      <c r="U4" s="9">
        <f t="shared" ref="U4:U75" si="3">C4/Q4*100000</f>
        <v>0.26612903225921658</v>
      </c>
      <c r="V4" s="9">
        <f t="shared" ref="V4:V75" si="4">D4/R4*100000</f>
        <v>0.23592677345560642</v>
      </c>
      <c r="W4" s="9">
        <f t="shared" ref="W4:W75" si="5">E4/S4*100000</f>
        <v>0.41834695731174687</v>
      </c>
      <c r="X4" s="3">
        <f t="shared" ref="X4:X32" si="6">1-U4/W4</f>
        <v>0.36385570013623747</v>
      </c>
      <c r="Y4" s="3">
        <f t="shared" ref="Y4:Y32" si="7">1-V4/W4</f>
        <v>0.43604998355516478</v>
      </c>
      <c r="AA4" t="s">
        <v>26</v>
      </c>
      <c r="AB4" t="s">
        <v>2</v>
      </c>
      <c r="AC4">
        <v>62</v>
      </c>
      <c r="AD4">
        <v>216</v>
      </c>
      <c r="AE4">
        <v>373</v>
      </c>
      <c r="AF4">
        <f t="shared" si="1"/>
        <v>373</v>
      </c>
      <c r="AG4">
        <v>3.3</v>
      </c>
      <c r="AH4">
        <v>5.7</v>
      </c>
      <c r="AI4">
        <v>11.1</v>
      </c>
      <c r="AJ4" s="9">
        <f t="shared" ref="AJ4:AJ32" si="8">AC4/Q4*100000</f>
        <v>3.3000000000142862</v>
      </c>
      <c r="AK4" s="9">
        <f t="shared" ref="AK4:AK18" si="9">AD4/R4*100000</f>
        <v>5.6622425629345541</v>
      </c>
      <c r="AL4" s="9">
        <f t="shared" ref="AL4:AL18" si="10">AE4/S4*100000</f>
        <v>11.145958219805829</v>
      </c>
      <c r="AM4" s="3">
        <f t="shared" ref="AM4:AM32" si="11">1-AJ4/AL4</f>
        <v>0.70392855105536412</v>
      </c>
      <c r="AN4" s="3">
        <f t="shared" ref="AN4:AN32" si="12">1-AK4/AL4</f>
        <v>0.49199140609795011</v>
      </c>
      <c r="AO4" s="3"/>
      <c r="AP4">
        <v>5</v>
      </c>
      <c r="AQ4">
        <v>5</v>
      </c>
      <c r="AR4">
        <v>14</v>
      </c>
      <c r="AS4">
        <v>0.3</v>
      </c>
      <c r="AT4">
        <v>0.1</v>
      </c>
      <c r="AU4">
        <v>0.4</v>
      </c>
      <c r="AV4" s="9">
        <f t="shared" ref="AV4:AV32" si="13">AP4/Q4*100000</f>
        <v>0.26612903225921658</v>
      </c>
      <c r="AW4" s="9">
        <f t="shared" ref="AW4:AW32" si="14">AQ4/R4*100000</f>
        <v>0.13107042969755911</v>
      </c>
      <c r="AX4" s="9">
        <f t="shared" ref="AX4:AX32" si="15">AR4/S4*100000</f>
        <v>0.41834695731174687</v>
      </c>
      <c r="AY4" s="3">
        <f t="shared" ref="AY4:AY32" si="16">1-AV4/AX4</f>
        <v>0.36385570013623747</v>
      </c>
      <c r="AZ4" s="3">
        <f t="shared" ref="AZ4:AZ32" si="17">1-AW4/AX4</f>
        <v>0.68669443530842489</v>
      </c>
    </row>
    <row r="5" spans="1:52" x14ac:dyDescent="0.25">
      <c r="A5" t="s">
        <v>27</v>
      </c>
      <c r="B5" t="s">
        <v>72</v>
      </c>
      <c r="C5">
        <v>4</v>
      </c>
      <c r="D5">
        <v>9</v>
      </c>
      <c r="E5">
        <v>13</v>
      </c>
      <c r="F5">
        <v>0.2</v>
      </c>
      <c r="G5">
        <v>0.2</v>
      </c>
      <c r="H5">
        <v>0.4</v>
      </c>
      <c r="I5" s="2" t="s">
        <v>27</v>
      </c>
      <c r="J5" t="s">
        <v>72</v>
      </c>
      <c r="K5">
        <v>379</v>
      </c>
      <c r="L5">
        <v>3523</v>
      </c>
      <c r="M5">
        <v>5640</v>
      </c>
      <c r="N5">
        <v>19.600000000000001</v>
      </c>
      <c r="O5">
        <v>93.7</v>
      </c>
      <c r="P5">
        <v>168.9</v>
      </c>
      <c r="Q5" s="1">
        <f>K5*100000/N5</f>
        <v>1933673.469387755</v>
      </c>
      <c r="R5" s="1">
        <f>L5*100000/O5</f>
        <v>3759871.9316969048</v>
      </c>
      <c r="S5" s="1">
        <f>M5*100000/P5</f>
        <v>3339253.9964476018</v>
      </c>
      <c r="T5" s="1">
        <f t="shared" si="2"/>
        <v>9032799.3975322619</v>
      </c>
      <c r="U5" s="9">
        <f t="shared" si="3"/>
        <v>0.20686015831134566</v>
      </c>
      <c r="V5" s="9">
        <f t="shared" si="4"/>
        <v>0.23936985523701393</v>
      </c>
      <c r="W5" s="9">
        <f t="shared" si="5"/>
        <v>0.38930851063829791</v>
      </c>
      <c r="X5" s="3">
        <f t="shared" si="6"/>
        <v>0.46864722281004267</v>
      </c>
      <c r="Y5" s="3">
        <f t="shared" si="7"/>
        <v>0.3851409648236287</v>
      </c>
      <c r="AA5" t="s">
        <v>27</v>
      </c>
      <c r="AB5" t="s">
        <v>2</v>
      </c>
      <c r="AC5">
        <v>62</v>
      </c>
      <c r="AD5">
        <v>213</v>
      </c>
      <c r="AE5">
        <v>374</v>
      </c>
      <c r="AF5">
        <f t="shared" si="1"/>
        <v>374</v>
      </c>
      <c r="AG5">
        <v>3.2</v>
      </c>
      <c r="AH5">
        <v>5.7</v>
      </c>
      <c r="AI5">
        <v>11.2</v>
      </c>
      <c r="AJ5" s="9">
        <f t="shared" si="8"/>
        <v>3.206332453825858</v>
      </c>
      <c r="AK5" s="9">
        <f t="shared" si="9"/>
        <v>5.6650865739426628</v>
      </c>
      <c r="AL5" s="9">
        <f t="shared" si="10"/>
        <v>11.200106382978724</v>
      </c>
      <c r="AM5" s="3">
        <f t="shared" si="11"/>
        <v>0.71372303581877961</v>
      </c>
      <c r="AN5" s="3">
        <f t="shared" si="12"/>
        <v>0.49419350314813659</v>
      </c>
      <c r="AO5" s="3"/>
      <c r="AP5">
        <v>3</v>
      </c>
      <c r="AQ5">
        <v>10</v>
      </c>
      <c r="AR5">
        <v>15</v>
      </c>
      <c r="AS5">
        <v>0.2</v>
      </c>
      <c r="AT5">
        <v>0.3</v>
      </c>
      <c r="AU5">
        <v>0.4</v>
      </c>
      <c r="AV5" s="9">
        <f t="shared" si="13"/>
        <v>0.15514511873350922</v>
      </c>
      <c r="AW5" s="9">
        <f t="shared" si="14"/>
        <v>0.26596650581890435</v>
      </c>
      <c r="AX5" s="9">
        <f t="shared" si="15"/>
        <v>0.44920212765957457</v>
      </c>
      <c r="AY5" s="3">
        <f t="shared" si="16"/>
        <v>0.65462069482652785</v>
      </c>
      <c r="AZ5" s="3">
        <f t="shared" si="17"/>
        <v>0.40791352168201289</v>
      </c>
    </row>
    <row r="6" spans="1:52" x14ac:dyDescent="0.25">
      <c r="A6" t="s">
        <v>28</v>
      </c>
      <c r="B6" t="s">
        <v>72</v>
      </c>
      <c r="C6">
        <v>3</v>
      </c>
      <c r="D6">
        <v>11</v>
      </c>
      <c r="E6">
        <v>15</v>
      </c>
      <c r="F6">
        <v>0.2</v>
      </c>
      <c r="G6">
        <v>0.3</v>
      </c>
      <c r="H6">
        <v>0.4</v>
      </c>
      <c r="I6" s="2" t="s">
        <v>28</v>
      </c>
      <c r="J6" t="s">
        <v>72</v>
      </c>
      <c r="K6">
        <v>170</v>
      </c>
      <c r="L6">
        <v>1927</v>
      </c>
      <c r="M6">
        <v>2762</v>
      </c>
      <c r="N6">
        <v>8.6999999999999993</v>
      </c>
      <c r="O6">
        <v>51.7</v>
      </c>
      <c r="P6">
        <v>82.8</v>
      </c>
      <c r="Q6" s="1">
        <f>K6*100000/(N6+0.0000000001)</f>
        <v>1954022.9884832872</v>
      </c>
      <c r="R6" s="1">
        <f>L6*100000/(O6+0.0000000001)</f>
        <v>3727272.7272655177</v>
      </c>
      <c r="S6" s="1">
        <f>M6*100000/(P6+0.0000000001)</f>
        <v>3335748.792266503</v>
      </c>
      <c r="T6" s="1">
        <f t="shared" si="2"/>
        <v>9017044.5080153085</v>
      </c>
      <c r="U6" s="9">
        <f t="shared" si="3"/>
        <v>0.15352941176647059</v>
      </c>
      <c r="V6" s="9">
        <f t="shared" si="4"/>
        <v>0.29512195122008306</v>
      </c>
      <c r="W6" s="9">
        <f t="shared" si="5"/>
        <v>0.44967414916781318</v>
      </c>
      <c r="X6" s="3">
        <f t="shared" si="6"/>
        <v>0.65857630008173951</v>
      </c>
      <c r="Y6" s="3">
        <f t="shared" si="7"/>
        <v>0.34369820509751614</v>
      </c>
      <c r="AA6" t="s">
        <v>28</v>
      </c>
      <c r="AB6" t="s">
        <v>2</v>
      </c>
      <c r="AC6">
        <v>64</v>
      </c>
      <c r="AD6">
        <v>214</v>
      </c>
      <c r="AE6">
        <v>383</v>
      </c>
      <c r="AF6">
        <f t="shared" si="1"/>
        <v>383</v>
      </c>
      <c r="AG6">
        <v>3.3</v>
      </c>
      <c r="AH6">
        <v>5.7</v>
      </c>
      <c r="AI6">
        <v>11.5</v>
      </c>
      <c r="AJ6" s="9">
        <f t="shared" si="8"/>
        <v>3.2752941176847057</v>
      </c>
      <c r="AK6" s="9">
        <f t="shared" si="9"/>
        <v>5.7414634146452519</v>
      </c>
      <c r="AL6" s="9">
        <f t="shared" si="10"/>
        <v>11.481679942084829</v>
      </c>
      <c r="AM6" s="3">
        <f t="shared" si="11"/>
        <v>0.71473737865837239</v>
      </c>
      <c r="AN6" s="3">
        <f t="shared" si="12"/>
        <v>0.49994570101187441</v>
      </c>
      <c r="AO6" s="3"/>
      <c r="AP6">
        <v>5</v>
      </c>
      <c r="AQ6">
        <v>6</v>
      </c>
      <c r="AR6">
        <v>13</v>
      </c>
      <c r="AS6">
        <v>0.3</v>
      </c>
      <c r="AT6">
        <v>0.2</v>
      </c>
      <c r="AU6">
        <v>0.4</v>
      </c>
      <c r="AV6" s="9">
        <f t="shared" si="13"/>
        <v>0.25588235294411765</v>
      </c>
      <c r="AW6" s="9">
        <f t="shared" si="14"/>
        <v>0.16097560975640893</v>
      </c>
      <c r="AX6" s="9">
        <f t="shared" si="15"/>
        <v>0.38971759594543809</v>
      </c>
      <c r="AY6" s="3">
        <f t="shared" si="16"/>
        <v>0.34341596169565269</v>
      </c>
      <c r="AZ6" s="3">
        <f t="shared" si="17"/>
        <v>0.58694292628514999</v>
      </c>
    </row>
    <row r="7" spans="1:52" x14ac:dyDescent="0.25">
      <c r="A7" t="s">
        <v>29</v>
      </c>
      <c r="B7" t="s">
        <v>72</v>
      </c>
      <c r="C7">
        <v>0</v>
      </c>
      <c r="D7">
        <v>9</v>
      </c>
      <c r="E7">
        <v>8</v>
      </c>
      <c r="F7">
        <v>0</v>
      </c>
      <c r="G7">
        <v>0.2</v>
      </c>
      <c r="H7">
        <v>0.2</v>
      </c>
      <c r="I7" s="2" t="s">
        <v>29</v>
      </c>
      <c r="J7" t="s">
        <v>72</v>
      </c>
      <c r="K7">
        <v>231</v>
      </c>
      <c r="L7">
        <v>2334</v>
      </c>
      <c r="M7">
        <v>3117</v>
      </c>
      <c r="N7">
        <v>11.3</v>
      </c>
      <c r="O7">
        <v>63.8</v>
      </c>
      <c r="P7">
        <v>93.8</v>
      </c>
      <c r="Q7" s="1">
        <f>K7*100000/N7</f>
        <v>2044247.7876106193</v>
      </c>
      <c r="R7" s="1">
        <f>L7*100000/O7</f>
        <v>3658307.2100313483</v>
      </c>
      <c r="S7" s="1">
        <f>M7*100000/P7</f>
        <v>3323027.7185501065</v>
      </c>
      <c r="T7" s="1">
        <f t="shared" si="2"/>
        <v>9025582.7161920741</v>
      </c>
      <c r="U7" s="9">
        <f t="shared" si="3"/>
        <v>0</v>
      </c>
      <c r="V7" s="9">
        <f t="shared" si="4"/>
        <v>0.2460154241645244</v>
      </c>
      <c r="W7" s="9">
        <f t="shared" si="5"/>
        <v>0.24074430542188002</v>
      </c>
      <c r="X7" s="3">
        <f t="shared" si="6"/>
        <v>1</v>
      </c>
      <c r="Y7" s="3">
        <f t="shared" si="7"/>
        <v>-2.1895092111970271E-2</v>
      </c>
      <c r="AA7" t="s">
        <v>29</v>
      </c>
      <c r="AB7" t="s">
        <v>2</v>
      </c>
      <c r="AC7">
        <v>72</v>
      </c>
      <c r="AD7">
        <v>204</v>
      </c>
      <c r="AE7">
        <v>400</v>
      </c>
      <c r="AF7">
        <f t="shared" si="1"/>
        <v>400</v>
      </c>
      <c r="AG7">
        <v>3.5</v>
      </c>
      <c r="AH7">
        <v>5.6</v>
      </c>
      <c r="AI7">
        <v>12</v>
      </c>
      <c r="AJ7" s="9">
        <f t="shared" si="8"/>
        <v>3.5220779220779224</v>
      </c>
      <c r="AK7" s="9">
        <f t="shared" si="9"/>
        <v>5.5763496143958866</v>
      </c>
      <c r="AL7" s="9">
        <f t="shared" si="10"/>
        <v>12.037215271094</v>
      </c>
      <c r="AM7" s="3">
        <f t="shared" si="11"/>
        <v>0.70740093595104248</v>
      </c>
      <c r="AN7" s="3">
        <f t="shared" si="12"/>
        <v>0.53674089157590676</v>
      </c>
      <c r="AO7" s="3"/>
      <c r="AP7">
        <v>4</v>
      </c>
      <c r="AQ7">
        <v>5</v>
      </c>
      <c r="AR7">
        <v>12</v>
      </c>
      <c r="AS7">
        <v>0.2</v>
      </c>
      <c r="AT7">
        <v>0.1</v>
      </c>
      <c r="AU7">
        <v>0.4</v>
      </c>
      <c r="AV7" s="9">
        <f t="shared" si="13"/>
        <v>0.19567099567099566</v>
      </c>
      <c r="AW7" s="9">
        <f t="shared" si="14"/>
        <v>0.13667523564695799</v>
      </c>
      <c r="AX7" s="9">
        <f t="shared" si="15"/>
        <v>0.36111645813282001</v>
      </c>
      <c r="AY7" s="3">
        <f t="shared" si="16"/>
        <v>0.45814988139081958</v>
      </c>
      <c r="AZ7" s="3">
        <f t="shared" si="17"/>
        <v>0.62152033625482583</v>
      </c>
    </row>
    <row r="8" spans="1:52" x14ac:dyDescent="0.25">
      <c r="A8" t="s">
        <v>30</v>
      </c>
      <c r="B8" t="s">
        <v>72</v>
      </c>
      <c r="C8">
        <v>3</v>
      </c>
      <c r="D8">
        <v>7</v>
      </c>
      <c r="E8">
        <v>4</v>
      </c>
      <c r="F8">
        <v>0.1</v>
      </c>
      <c r="G8">
        <v>0.2</v>
      </c>
      <c r="H8">
        <v>0.1</v>
      </c>
      <c r="I8" s="2" t="s">
        <v>30</v>
      </c>
      <c r="J8" t="s">
        <v>72</v>
      </c>
      <c r="K8">
        <v>412</v>
      </c>
      <c r="L8">
        <v>3415</v>
      </c>
      <c r="M8">
        <v>6553</v>
      </c>
      <c r="N8">
        <v>19.100000000000001</v>
      </c>
      <c r="O8">
        <v>96.1</v>
      </c>
      <c r="P8">
        <v>197.5</v>
      </c>
      <c r="Q8" s="1">
        <f t="shared" ref="Q8:Q18" si="18">K8*100000/(N8+0.0000000001)</f>
        <v>2157068.0628159316</v>
      </c>
      <c r="R8" s="1">
        <f t="shared" ref="R8:R18" si="19">L8*100000/(O8+0.0000000001)</f>
        <v>3553590.0104021295</v>
      </c>
      <c r="S8" s="1">
        <f t="shared" ref="S8:S18" si="20">M8*100000/(P8+0.0000000001)</f>
        <v>3317974.6835426241</v>
      </c>
      <c r="T8" s="1">
        <f t="shared" si="2"/>
        <v>9028632.7567606848</v>
      </c>
      <c r="U8" s="9">
        <f t="shared" si="3"/>
        <v>0.13907766990364079</v>
      </c>
      <c r="V8" s="9">
        <f t="shared" si="4"/>
        <v>0.19698389458292825</v>
      </c>
      <c r="W8" s="9">
        <f t="shared" si="5"/>
        <v>0.12055547077680451</v>
      </c>
      <c r="X8" s="3">
        <f t="shared" si="6"/>
        <v>-0.15364046946594523</v>
      </c>
      <c r="Y8" s="3">
        <f t="shared" si="7"/>
        <v>-0.63396893822946243</v>
      </c>
      <c r="AA8" t="s">
        <v>30</v>
      </c>
      <c r="AB8" t="s">
        <v>2</v>
      </c>
      <c r="AC8">
        <v>65</v>
      </c>
      <c r="AD8">
        <v>184</v>
      </c>
      <c r="AE8">
        <v>389</v>
      </c>
      <c r="AF8">
        <f t="shared" ref="AF8:AF31" si="21">AE42+AE76</f>
        <v>389</v>
      </c>
      <c r="AG8">
        <v>3</v>
      </c>
      <c r="AH8">
        <v>5.2</v>
      </c>
      <c r="AI8">
        <v>11.7</v>
      </c>
      <c r="AJ8" s="9">
        <f t="shared" si="8"/>
        <v>3.0133495145788838</v>
      </c>
      <c r="AK8" s="9">
        <f t="shared" si="9"/>
        <v>5.1778623718941148</v>
      </c>
      <c r="AL8" s="9">
        <f t="shared" si="10"/>
        <v>11.724019533044238</v>
      </c>
      <c r="AM8" s="3">
        <f t="shared" si="11"/>
        <v>0.74297641640004652</v>
      </c>
      <c r="AN8" s="3">
        <f t="shared" si="12"/>
        <v>0.55835433766548492</v>
      </c>
      <c r="AO8" s="3"/>
      <c r="AP8">
        <v>2</v>
      </c>
      <c r="AQ8">
        <v>6</v>
      </c>
      <c r="AR8">
        <v>19</v>
      </c>
      <c r="AS8">
        <v>0.1</v>
      </c>
      <c r="AT8">
        <v>0.2</v>
      </c>
      <c r="AU8">
        <v>0.6</v>
      </c>
      <c r="AV8" s="9">
        <f t="shared" si="13"/>
        <v>9.2718446602427174E-2</v>
      </c>
      <c r="AW8" s="9">
        <f t="shared" si="14"/>
        <v>0.16884333821393849</v>
      </c>
      <c r="AX8" s="9">
        <f t="shared" si="15"/>
        <v>0.57263848618982138</v>
      </c>
      <c r="AY8" s="3">
        <f t="shared" si="16"/>
        <v>0.83808554814513059</v>
      </c>
      <c r="AZ8" s="3">
        <f t="shared" si="17"/>
        <v>0.70514846227438266</v>
      </c>
    </row>
    <row r="9" spans="1:52" x14ac:dyDescent="0.25">
      <c r="A9" t="s">
        <v>31</v>
      </c>
      <c r="B9" t="s">
        <v>72</v>
      </c>
      <c r="C9">
        <v>0</v>
      </c>
      <c r="D9">
        <v>14</v>
      </c>
      <c r="E9">
        <v>12</v>
      </c>
      <c r="F9">
        <v>0</v>
      </c>
      <c r="G9">
        <v>0.4</v>
      </c>
      <c r="H9">
        <v>0.4</v>
      </c>
      <c r="I9" s="2" t="s">
        <v>31</v>
      </c>
      <c r="J9" t="s">
        <v>72</v>
      </c>
      <c r="K9">
        <v>297</v>
      </c>
      <c r="L9">
        <v>2196</v>
      </c>
      <c r="M9">
        <v>4090</v>
      </c>
      <c r="N9">
        <v>13.1</v>
      </c>
      <c r="O9">
        <v>63.7</v>
      </c>
      <c r="P9">
        <v>123.3</v>
      </c>
      <c r="Q9" s="1">
        <f t="shared" si="18"/>
        <v>2267175.5725017772</v>
      </c>
      <c r="R9" s="1">
        <f t="shared" si="19"/>
        <v>3447409.7331186067</v>
      </c>
      <c r="S9" s="1">
        <f t="shared" si="20"/>
        <v>3317112.7331684371</v>
      </c>
      <c r="T9" s="1">
        <f t="shared" si="2"/>
        <v>9031698.0387888215</v>
      </c>
      <c r="U9" s="9">
        <f t="shared" si="3"/>
        <v>0</v>
      </c>
      <c r="V9" s="9">
        <f t="shared" si="4"/>
        <v>0.40610200364362481</v>
      </c>
      <c r="W9" s="9">
        <f t="shared" si="5"/>
        <v>0.36176039119833742</v>
      </c>
      <c r="X9" s="3">
        <f t="shared" si="6"/>
        <v>1</v>
      </c>
      <c r="Y9" s="3">
        <f t="shared" si="7"/>
        <v>-0.12257177270956898</v>
      </c>
      <c r="AA9" t="s">
        <v>31</v>
      </c>
      <c r="AB9" t="s">
        <v>2</v>
      </c>
      <c r="AC9">
        <v>69</v>
      </c>
      <c r="AD9">
        <v>178</v>
      </c>
      <c r="AE9">
        <v>395</v>
      </c>
      <c r="AF9">
        <f t="shared" si="21"/>
        <v>395</v>
      </c>
      <c r="AG9">
        <v>3</v>
      </c>
      <c r="AH9">
        <v>5.2</v>
      </c>
      <c r="AI9">
        <v>11.9</v>
      </c>
      <c r="AJ9" s="9">
        <f t="shared" si="8"/>
        <v>3.0434343434575757</v>
      </c>
      <c r="AK9" s="9">
        <f t="shared" si="9"/>
        <v>5.1632969034689431</v>
      </c>
      <c r="AL9" s="9">
        <f t="shared" si="10"/>
        <v>11.907946210278606</v>
      </c>
      <c r="AM9" s="3">
        <f t="shared" si="11"/>
        <v>0.74441987814568988</v>
      </c>
      <c r="AN9" s="3">
        <f t="shared" si="12"/>
        <v>0.56639904041453182</v>
      </c>
      <c r="AO9" s="3"/>
      <c r="AP9">
        <v>5</v>
      </c>
      <c r="AQ9">
        <v>6</v>
      </c>
      <c r="AR9">
        <v>31</v>
      </c>
      <c r="AS9">
        <v>0.2</v>
      </c>
      <c r="AT9">
        <v>0.2</v>
      </c>
      <c r="AU9">
        <v>0.9</v>
      </c>
      <c r="AV9" s="9">
        <f t="shared" si="13"/>
        <v>0.22053872054040405</v>
      </c>
      <c r="AW9" s="9">
        <f t="shared" si="14"/>
        <v>0.17404371584726777</v>
      </c>
      <c r="AX9" s="9">
        <f t="shared" si="15"/>
        <v>0.93454767726237165</v>
      </c>
      <c r="AY9" s="3">
        <f t="shared" si="16"/>
        <v>0.76401554901250002</v>
      </c>
      <c r="AZ9" s="3">
        <f t="shared" si="17"/>
        <v>0.8137668948500254</v>
      </c>
    </row>
    <row r="10" spans="1:52" x14ac:dyDescent="0.25">
      <c r="A10" t="s">
        <v>32</v>
      </c>
      <c r="B10" t="s">
        <v>72</v>
      </c>
      <c r="C10">
        <v>2</v>
      </c>
      <c r="D10">
        <v>3</v>
      </c>
      <c r="E10">
        <v>5</v>
      </c>
      <c r="F10">
        <v>0.1</v>
      </c>
      <c r="G10">
        <v>0.1</v>
      </c>
      <c r="H10">
        <v>0.2</v>
      </c>
      <c r="I10" s="2" t="s">
        <v>32</v>
      </c>
      <c r="J10" t="s">
        <v>72</v>
      </c>
      <c r="K10">
        <v>117</v>
      </c>
      <c r="L10">
        <v>873</v>
      </c>
      <c r="M10">
        <v>1407</v>
      </c>
      <c r="N10">
        <v>4.9000000000000004</v>
      </c>
      <c r="O10">
        <v>26.1</v>
      </c>
      <c r="P10">
        <v>42.4</v>
      </c>
      <c r="Q10" s="1">
        <f t="shared" si="18"/>
        <v>2387755.1019920865</v>
      </c>
      <c r="R10" s="1">
        <f t="shared" si="19"/>
        <v>3344827.5861940812</v>
      </c>
      <c r="S10" s="1">
        <f t="shared" si="20"/>
        <v>3318396.2264072681</v>
      </c>
      <c r="T10" s="1">
        <f t="shared" si="2"/>
        <v>9050978.9145934358</v>
      </c>
      <c r="U10" s="9">
        <f t="shared" si="3"/>
        <v>8.3760683762393165E-2</v>
      </c>
      <c r="V10" s="9">
        <f t="shared" si="4"/>
        <v>8.9690721649828165E-2</v>
      </c>
      <c r="W10" s="9">
        <f t="shared" si="5"/>
        <v>0.15067519545167021</v>
      </c>
      <c r="X10" s="3">
        <f t="shared" si="6"/>
        <v>0.44409772616316401</v>
      </c>
      <c r="Y10" s="3">
        <f t="shared" si="7"/>
        <v>0.40474129546693116</v>
      </c>
      <c r="AA10" t="s">
        <v>32</v>
      </c>
      <c r="AB10" t="s">
        <v>2</v>
      </c>
      <c r="AC10">
        <v>67</v>
      </c>
      <c r="AD10">
        <v>180</v>
      </c>
      <c r="AE10">
        <v>412</v>
      </c>
      <c r="AF10">
        <f t="shared" si="21"/>
        <v>412</v>
      </c>
      <c r="AG10">
        <v>2.8</v>
      </c>
      <c r="AH10">
        <v>5.4</v>
      </c>
      <c r="AI10">
        <v>12.5</v>
      </c>
      <c r="AJ10" s="9">
        <f t="shared" si="8"/>
        <v>2.8059829060401711</v>
      </c>
      <c r="AK10" s="9">
        <f t="shared" si="9"/>
        <v>5.3814432989896908</v>
      </c>
      <c r="AL10" s="9">
        <f t="shared" si="10"/>
        <v>12.415636105217624</v>
      </c>
      <c r="AM10" s="3">
        <f t="shared" si="11"/>
        <v>0.77399604158332513</v>
      </c>
      <c r="AN10" s="3">
        <f t="shared" si="12"/>
        <v>0.56655919572834779</v>
      </c>
      <c r="AO10" s="3"/>
      <c r="AP10">
        <v>3</v>
      </c>
      <c r="AQ10">
        <v>3</v>
      </c>
      <c r="AR10">
        <v>17</v>
      </c>
      <c r="AS10">
        <v>0.1</v>
      </c>
      <c r="AT10">
        <v>0.1</v>
      </c>
      <c r="AU10">
        <v>0.5</v>
      </c>
      <c r="AV10" s="9">
        <f t="shared" si="13"/>
        <v>0.12564102564358975</v>
      </c>
      <c r="AW10" s="9">
        <f t="shared" si="14"/>
        <v>8.9690721649828165E-2</v>
      </c>
      <c r="AX10" s="9">
        <f t="shared" si="15"/>
        <v>0.51229566453567876</v>
      </c>
      <c r="AY10" s="3">
        <f t="shared" si="16"/>
        <v>0.75474899683669006</v>
      </c>
      <c r="AZ10" s="3">
        <f t="shared" si="17"/>
        <v>0.8249239104314503</v>
      </c>
    </row>
    <row r="11" spans="1:52" x14ac:dyDescent="0.25">
      <c r="A11" t="s">
        <v>0</v>
      </c>
      <c r="B11" t="s">
        <v>72</v>
      </c>
      <c r="C11">
        <v>0</v>
      </c>
      <c r="D11">
        <v>9</v>
      </c>
      <c r="E11">
        <v>6</v>
      </c>
      <c r="F11">
        <v>0</v>
      </c>
      <c r="G11">
        <v>0.2</v>
      </c>
      <c r="H11">
        <v>0.2</v>
      </c>
      <c r="I11" s="2" t="s">
        <v>0</v>
      </c>
      <c r="J11" t="s">
        <v>72</v>
      </c>
      <c r="K11">
        <v>69</v>
      </c>
      <c r="L11">
        <v>3151</v>
      </c>
      <c r="M11">
        <v>2534</v>
      </c>
      <c r="N11">
        <v>37.700000000000003</v>
      </c>
      <c r="O11">
        <v>58.3</v>
      </c>
      <c r="P11">
        <v>70.400000000000006</v>
      </c>
      <c r="Q11" s="1">
        <f t="shared" si="18"/>
        <v>183023.87267855959</v>
      </c>
      <c r="R11" s="1">
        <f t="shared" si="19"/>
        <v>5404802.7444161158</v>
      </c>
      <c r="S11" s="1">
        <f t="shared" si="20"/>
        <v>3599431.8181767049</v>
      </c>
      <c r="T11" s="1">
        <f t="shared" si="2"/>
        <v>9187258.4352713805</v>
      </c>
      <c r="U11" s="9">
        <f t="shared" si="3"/>
        <v>0</v>
      </c>
      <c r="V11" s="9">
        <f t="shared" si="4"/>
        <v>0.16651856553503647</v>
      </c>
      <c r="W11" s="9">
        <f t="shared" si="5"/>
        <v>0.16669297553299134</v>
      </c>
      <c r="X11" s="3">
        <f t="shared" si="6"/>
        <v>1</v>
      </c>
      <c r="Y11" s="3">
        <f t="shared" si="7"/>
        <v>1.0462948267447869E-3</v>
      </c>
      <c r="AA11" t="s">
        <v>0</v>
      </c>
      <c r="AB11" t="s">
        <v>2</v>
      </c>
      <c r="AC11">
        <v>4</v>
      </c>
      <c r="AD11">
        <v>243</v>
      </c>
      <c r="AE11">
        <v>139</v>
      </c>
      <c r="AF11">
        <f t="shared" si="21"/>
        <v>139</v>
      </c>
      <c r="AG11">
        <v>2.2000000000000002</v>
      </c>
      <c r="AH11">
        <v>4.5</v>
      </c>
      <c r="AI11">
        <v>3.9</v>
      </c>
      <c r="AJ11" s="9">
        <f t="shared" si="8"/>
        <v>2.1855072463826093</v>
      </c>
      <c r="AK11" s="9">
        <f t="shared" si="9"/>
        <v>4.4960012694459852</v>
      </c>
      <c r="AL11" s="9">
        <f t="shared" si="10"/>
        <v>3.8617205998476325</v>
      </c>
      <c r="AM11" s="3">
        <f t="shared" si="11"/>
        <v>0.43405868190753094</v>
      </c>
      <c r="AN11" s="3">
        <f t="shared" si="12"/>
        <v>-0.16424820315156374</v>
      </c>
      <c r="AO11" s="3"/>
      <c r="AP11">
        <v>2</v>
      </c>
      <c r="AQ11">
        <v>16</v>
      </c>
      <c r="AR11">
        <v>3</v>
      </c>
      <c r="AS11">
        <v>1.1000000000000001</v>
      </c>
      <c r="AT11">
        <v>0.3</v>
      </c>
      <c r="AU11">
        <v>0.1</v>
      </c>
      <c r="AV11" s="9">
        <f t="shared" si="13"/>
        <v>1.0927536231913046</v>
      </c>
      <c r="AW11" s="9">
        <f t="shared" si="14"/>
        <v>0.29603300539562039</v>
      </c>
      <c r="AX11" s="9">
        <f t="shared" si="15"/>
        <v>8.3346487766495669E-2</v>
      </c>
      <c r="AY11" s="3">
        <f t="shared" si="16"/>
        <v>-12.110973869142198</v>
      </c>
      <c r="AZ11" s="3">
        <f t="shared" si="17"/>
        <v>-2.5518353961715738</v>
      </c>
    </row>
    <row r="12" spans="1:52" x14ac:dyDescent="0.25">
      <c r="A12" t="s">
        <v>4</v>
      </c>
      <c r="B12" t="s">
        <v>72</v>
      </c>
      <c r="C12">
        <v>0</v>
      </c>
      <c r="D12">
        <v>9</v>
      </c>
      <c r="E12">
        <v>4</v>
      </c>
      <c r="F12">
        <v>0</v>
      </c>
      <c r="G12">
        <v>0.2</v>
      </c>
      <c r="H12">
        <v>0.1</v>
      </c>
      <c r="I12" s="2" t="s">
        <v>4</v>
      </c>
      <c r="J12" t="s">
        <v>72</v>
      </c>
      <c r="K12">
        <v>97</v>
      </c>
      <c r="L12">
        <v>3224</v>
      </c>
      <c r="M12">
        <v>2598</v>
      </c>
      <c r="N12">
        <v>36.799999999999997</v>
      </c>
      <c r="O12">
        <v>60.5</v>
      </c>
      <c r="P12">
        <v>72.3</v>
      </c>
      <c r="Q12" s="1">
        <f t="shared" si="18"/>
        <v>263586.95652102289</v>
      </c>
      <c r="R12" s="1">
        <f t="shared" si="19"/>
        <v>5328925.6198259024</v>
      </c>
      <c r="S12" s="1">
        <f t="shared" si="20"/>
        <v>3593360.9958456522</v>
      </c>
      <c r="T12" s="1">
        <f t="shared" si="2"/>
        <v>9185873.5721925776</v>
      </c>
      <c r="U12" s="9">
        <f t="shared" si="3"/>
        <v>0</v>
      </c>
      <c r="V12" s="9">
        <f t="shared" si="4"/>
        <v>0.1688895781640509</v>
      </c>
      <c r="W12" s="9">
        <f t="shared" si="5"/>
        <v>0.11131639722879139</v>
      </c>
      <c r="X12" s="3">
        <f t="shared" si="6"/>
        <v>1</v>
      </c>
      <c r="Y12" s="3">
        <f t="shared" si="7"/>
        <v>-0.51720305694881508</v>
      </c>
      <c r="AA12" t="s">
        <v>4</v>
      </c>
      <c r="AB12" t="s">
        <v>2</v>
      </c>
      <c r="AC12">
        <v>6</v>
      </c>
      <c r="AD12">
        <v>242</v>
      </c>
      <c r="AE12">
        <v>148</v>
      </c>
      <c r="AF12">
        <f t="shared" si="21"/>
        <v>148</v>
      </c>
      <c r="AG12">
        <v>2.2999999999999998</v>
      </c>
      <c r="AH12">
        <v>4.5</v>
      </c>
      <c r="AI12">
        <v>4.0999999999999996</v>
      </c>
      <c r="AJ12" s="9">
        <f t="shared" si="8"/>
        <v>2.2762886597999996</v>
      </c>
      <c r="AK12" s="9">
        <f t="shared" si="9"/>
        <v>4.5412531017444788</v>
      </c>
      <c r="AL12" s="9">
        <f t="shared" si="10"/>
        <v>4.1187066974652806</v>
      </c>
      <c r="AM12" s="3">
        <f t="shared" si="11"/>
        <v>0.44732926449925048</v>
      </c>
      <c r="AN12" s="3">
        <f t="shared" si="12"/>
        <v>-0.102592011356196</v>
      </c>
      <c r="AO12" s="3"/>
      <c r="AP12">
        <v>0</v>
      </c>
      <c r="AQ12">
        <v>19</v>
      </c>
      <c r="AR12">
        <v>13</v>
      </c>
      <c r="AS12">
        <v>0</v>
      </c>
      <c r="AT12">
        <v>0.4</v>
      </c>
      <c r="AU12">
        <v>0.4</v>
      </c>
      <c r="AV12" s="9">
        <f t="shared" si="13"/>
        <v>0</v>
      </c>
      <c r="AW12" s="9">
        <f t="shared" si="14"/>
        <v>0.35654466501299631</v>
      </c>
      <c r="AX12" s="9">
        <f t="shared" si="15"/>
        <v>0.361778290993572</v>
      </c>
      <c r="AY12" s="3">
        <f t="shared" si="16"/>
        <v>1</v>
      </c>
      <c r="AZ12" s="3">
        <f t="shared" si="17"/>
        <v>1.4466390358034764E-2</v>
      </c>
    </row>
    <row r="13" spans="1:52" x14ac:dyDescent="0.25">
      <c r="A13" t="s">
        <v>5</v>
      </c>
      <c r="B13" t="s">
        <v>72</v>
      </c>
      <c r="C13">
        <v>1</v>
      </c>
      <c r="D13">
        <v>12</v>
      </c>
      <c r="E13">
        <v>6</v>
      </c>
      <c r="F13">
        <v>0.3</v>
      </c>
      <c r="G13">
        <v>0.2</v>
      </c>
      <c r="H13">
        <v>0.2</v>
      </c>
      <c r="I13" s="2" t="s">
        <v>5</v>
      </c>
      <c r="J13" t="s">
        <v>72</v>
      </c>
      <c r="K13">
        <v>138</v>
      </c>
      <c r="L13">
        <v>3184</v>
      </c>
      <c r="M13">
        <v>2740</v>
      </c>
      <c r="N13">
        <v>39.200000000000003</v>
      </c>
      <c r="O13">
        <v>60.7</v>
      </c>
      <c r="P13">
        <v>76.400000000000006</v>
      </c>
      <c r="Q13" s="1">
        <f t="shared" si="18"/>
        <v>352040.81632563251</v>
      </c>
      <c r="R13" s="1">
        <f t="shared" si="19"/>
        <v>5245469.5222318852</v>
      </c>
      <c r="S13" s="1">
        <f t="shared" si="20"/>
        <v>3586387.4345502793</v>
      </c>
      <c r="T13" s="1">
        <f t="shared" si="2"/>
        <v>9183897.7731077969</v>
      </c>
      <c r="U13" s="9">
        <f t="shared" si="3"/>
        <v>0.28405797101521746</v>
      </c>
      <c r="V13" s="9">
        <f t="shared" si="4"/>
        <v>0.22876884422148244</v>
      </c>
      <c r="W13" s="9">
        <f t="shared" si="5"/>
        <v>0.16729927007321169</v>
      </c>
      <c r="X13" s="3">
        <f t="shared" si="6"/>
        <v>-0.69790322988803899</v>
      </c>
      <c r="Y13" s="3">
        <f t="shared" si="7"/>
        <v>-0.36742284722085827</v>
      </c>
      <c r="AA13" t="s">
        <v>5</v>
      </c>
      <c r="AB13" t="s">
        <v>2</v>
      </c>
      <c r="AC13">
        <v>6</v>
      </c>
      <c r="AD13">
        <v>272</v>
      </c>
      <c r="AE13">
        <v>162</v>
      </c>
      <c r="AF13">
        <f t="shared" si="21"/>
        <v>162</v>
      </c>
      <c r="AG13">
        <v>1.7</v>
      </c>
      <c r="AH13">
        <v>5.2</v>
      </c>
      <c r="AI13">
        <v>4.5</v>
      </c>
      <c r="AJ13" s="9">
        <f t="shared" si="8"/>
        <v>1.7043478260913045</v>
      </c>
      <c r="AK13" s="9">
        <f t="shared" si="9"/>
        <v>5.1854271356869353</v>
      </c>
      <c r="AL13" s="9">
        <f t="shared" si="10"/>
        <v>4.5170802919767157</v>
      </c>
      <c r="AM13" s="3">
        <f t="shared" si="11"/>
        <v>0.6226881711359914</v>
      </c>
      <c r="AN13" s="3">
        <f t="shared" si="12"/>
        <v>-0.14795992112368328</v>
      </c>
      <c r="AO13" s="3"/>
      <c r="AP13">
        <v>0</v>
      </c>
      <c r="AQ13">
        <v>19</v>
      </c>
      <c r="AR13">
        <v>6</v>
      </c>
      <c r="AS13">
        <v>0</v>
      </c>
      <c r="AT13">
        <v>0.4</v>
      </c>
      <c r="AU13">
        <v>0.2</v>
      </c>
      <c r="AV13" s="9">
        <f t="shared" si="13"/>
        <v>0</v>
      </c>
      <c r="AW13" s="9">
        <f t="shared" si="14"/>
        <v>0.36221733668401385</v>
      </c>
      <c r="AX13" s="9">
        <f t="shared" si="15"/>
        <v>0.16729927007321169</v>
      </c>
      <c r="AY13" s="3">
        <f t="shared" si="16"/>
        <v>1</v>
      </c>
      <c r="AZ13" s="3">
        <f t="shared" si="17"/>
        <v>-1.1650861747663588</v>
      </c>
    </row>
    <row r="14" spans="1:52" x14ac:dyDescent="0.25">
      <c r="A14" t="s">
        <v>6</v>
      </c>
      <c r="B14" t="s">
        <v>72</v>
      </c>
      <c r="C14">
        <v>0</v>
      </c>
      <c r="D14">
        <v>14</v>
      </c>
      <c r="E14">
        <v>9</v>
      </c>
      <c r="F14">
        <v>0</v>
      </c>
      <c r="G14">
        <v>0.3</v>
      </c>
      <c r="H14">
        <v>0.3</v>
      </c>
      <c r="I14" s="2" t="s">
        <v>6</v>
      </c>
      <c r="J14" t="s">
        <v>72</v>
      </c>
      <c r="K14">
        <v>112</v>
      </c>
      <c r="L14">
        <v>2992</v>
      </c>
      <c r="M14">
        <v>2745</v>
      </c>
      <c r="N14">
        <v>28.3</v>
      </c>
      <c r="O14">
        <v>57.5</v>
      </c>
      <c r="P14">
        <v>76.599999999999994</v>
      </c>
      <c r="Q14" s="1">
        <f t="shared" si="18"/>
        <v>395759.71731308918</v>
      </c>
      <c r="R14" s="1">
        <f t="shared" si="19"/>
        <v>5203478.2608605158</v>
      </c>
      <c r="S14" s="1">
        <f t="shared" si="20"/>
        <v>3583550.9138334421</v>
      </c>
      <c r="T14" s="1">
        <f t="shared" si="2"/>
        <v>9182788.8920070473</v>
      </c>
      <c r="U14" s="9">
        <f t="shared" si="3"/>
        <v>0</v>
      </c>
      <c r="V14" s="9">
        <f t="shared" si="4"/>
        <v>0.26905080213950533</v>
      </c>
      <c r="W14" s="9">
        <f t="shared" si="5"/>
        <v>0.25114754098393438</v>
      </c>
      <c r="X14" s="3">
        <f t="shared" si="6"/>
        <v>1</v>
      </c>
      <c r="Y14" s="3">
        <f t="shared" si="7"/>
        <v>-7.1285830971827835E-2</v>
      </c>
      <c r="AA14" t="s">
        <v>6</v>
      </c>
      <c r="AB14" t="s">
        <v>2</v>
      </c>
      <c r="AC14">
        <v>11</v>
      </c>
      <c r="AD14">
        <v>271</v>
      </c>
      <c r="AE14">
        <v>180</v>
      </c>
      <c r="AF14">
        <f t="shared" si="21"/>
        <v>180</v>
      </c>
      <c r="AG14">
        <v>2.8</v>
      </c>
      <c r="AH14">
        <v>5.2</v>
      </c>
      <c r="AI14">
        <v>5</v>
      </c>
      <c r="AJ14" s="9">
        <f t="shared" si="8"/>
        <v>2.779464285724107</v>
      </c>
      <c r="AK14" s="9">
        <f t="shared" si="9"/>
        <v>5.2080548128432822</v>
      </c>
      <c r="AL14" s="9">
        <f t="shared" si="10"/>
        <v>5.0229508196786883</v>
      </c>
      <c r="AM14" s="3">
        <f t="shared" si="11"/>
        <v>0.44664712327366451</v>
      </c>
      <c r="AN14" s="3">
        <f t="shared" si="12"/>
        <v>-3.6851643547733293E-2</v>
      </c>
      <c r="AO14" s="3"/>
      <c r="AP14">
        <v>1</v>
      </c>
      <c r="AQ14">
        <v>13</v>
      </c>
      <c r="AR14">
        <v>10</v>
      </c>
      <c r="AS14">
        <v>0.3</v>
      </c>
      <c r="AT14">
        <v>0.2</v>
      </c>
      <c r="AU14">
        <v>0.3</v>
      </c>
      <c r="AV14" s="9">
        <f t="shared" si="13"/>
        <v>0.25267857142946432</v>
      </c>
      <c r="AW14" s="9">
        <f t="shared" si="14"/>
        <v>0.24983288770096926</v>
      </c>
      <c r="AX14" s="9">
        <f t="shared" si="15"/>
        <v>0.27905282331548265</v>
      </c>
      <c r="AY14" s="3">
        <f t="shared" si="16"/>
        <v>9.4513474447814327E-2</v>
      </c>
      <c r="AZ14" s="3">
        <f t="shared" si="17"/>
        <v>0.10471112697354379</v>
      </c>
    </row>
    <row r="15" spans="1:52" x14ac:dyDescent="0.25">
      <c r="A15" t="s">
        <v>7</v>
      </c>
      <c r="B15" t="s">
        <v>72</v>
      </c>
      <c r="C15">
        <v>1</v>
      </c>
      <c r="D15">
        <v>7</v>
      </c>
      <c r="E15">
        <v>10</v>
      </c>
      <c r="F15">
        <v>0.2</v>
      </c>
      <c r="G15">
        <v>0.1</v>
      </c>
      <c r="H15">
        <v>0.3</v>
      </c>
      <c r="I15" s="2" t="s">
        <v>7</v>
      </c>
      <c r="J15" t="s">
        <v>72</v>
      </c>
      <c r="K15">
        <v>92</v>
      </c>
      <c r="L15">
        <v>2175</v>
      </c>
      <c r="M15">
        <v>1866</v>
      </c>
      <c r="N15">
        <v>21.7</v>
      </c>
      <c r="O15">
        <v>42</v>
      </c>
      <c r="P15">
        <v>52.1</v>
      </c>
      <c r="Q15" s="1">
        <f t="shared" si="18"/>
        <v>423963.13363859931</v>
      </c>
      <c r="R15" s="1">
        <f t="shared" si="19"/>
        <v>5178571.4285590984</v>
      </c>
      <c r="S15" s="1">
        <f t="shared" si="20"/>
        <v>3581573.8963462925</v>
      </c>
      <c r="T15" s="1">
        <f t="shared" si="2"/>
        <v>9184108.4585439898</v>
      </c>
      <c r="U15" s="9">
        <f t="shared" si="3"/>
        <v>0.23586956521847821</v>
      </c>
      <c r="V15" s="9">
        <f t="shared" si="4"/>
        <v>0.13517241379342529</v>
      </c>
      <c r="W15" s="9">
        <f t="shared" si="5"/>
        <v>0.27920685959324759</v>
      </c>
      <c r="X15" s="3">
        <f t="shared" si="6"/>
        <v>0.15521572227094904</v>
      </c>
      <c r="Y15" s="3">
        <f t="shared" si="7"/>
        <v>0.51587001125134846</v>
      </c>
      <c r="AA15" t="s">
        <v>7</v>
      </c>
      <c r="AB15" t="s">
        <v>2</v>
      </c>
      <c r="AC15">
        <v>17</v>
      </c>
      <c r="AD15">
        <v>282</v>
      </c>
      <c r="AE15">
        <v>189</v>
      </c>
      <c r="AF15">
        <f t="shared" si="21"/>
        <v>189</v>
      </c>
      <c r="AG15">
        <v>4</v>
      </c>
      <c r="AH15">
        <v>5.4</v>
      </c>
      <c r="AI15">
        <v>5.3</v>
      </c>
      <c r="AJ15" s="9">
        <f t="shared" si="8"/>
        <v>4.0097826087141302</v>
      </c>
      <c r="AK15" s="9">
        <f t="shared" si="9"/>
        <v>5.4455172413922757</v>
      </c>
      <c r="AL15" s="9">
        <f t="shared" si="10"/>
        <v>5.2770096463123792</v>
      </c>
      <c r="AM15" s="3">
        <f t="shared" si="11"/>
        <v>0.24014112585217628</v>
      </c>
      <c r="AN15" s="3">
        <f t="shared" si="12"/>
        <v>-3.193240232138872E-2</v>
      </c>
      <c r="AO15" s="3"/>
      <c r="AP15">
        <v>4</v>
      </c>
      <c r="AQ15">
        <v>24</v>
      </c>
      <c r="AR15">
        <v>10</v>
      </c>
      <c r="AS15">
        <v>0.9</v>
      </c>
      <c r="AT15">
        <v>0.5</v>
      </c>
      <c r="AU15">
        <v>0.3</v>
      </c>
      <c r="AV15" s="9">
        <f t="shared" si="13"/>
        <v>0.94347826087391284</v>
      </c>
      <c r="AW15" s="9">
        <f t="shared" si="14"/>
        <v>0.46344827586317244</v>
      </c>
      <c r="AX15" s="9">
        <f t="shared" si="15"/>
        <v>0.27920685959324759</v>
      </c>
      <c r="AY15" s="3">
        <f t="shared" si="16"/>
        <v>-2.3791371109162038</v>
      </c>
      <c r="AZ15" s="3">
        <f t="shared" si="17"/>
        <v>-0.65987424713823395</v>
      </c>
    </row>
    <row r="16" spans="1:52" x14ac:dyDescent="0.25">
      <c r="A16" t="s">
        <v>8</v>
      </c>
      <c r="B16" t="s">
        <v>72</v>
      </c>
      <c r="C16">
        <v>4</v>
      </c>
      <c r="D16">
        <v>8</v>
      </c>
      <c r="E16">
        <v>8</v>
      </c>
      <c r="F16">
        <v>0.8</v>
      </c>
      <c r="G16">
        <v>0.2</v>
      </c>
      <c r="H16">
        <v>0.2</v>
      </c>
      <c r="I16" s="2" t="s">
        <v>8</v>
      </c>
      <c r="J16" t="s">
        <v>72</v>
      </c>
      <c r="K16">
        <v>88</v>
      </c>
      <c r="L16">
        <v>2653</v>
      </c>
      <c r="M16">
        <v>2347</v>
      </c>
      <c r="N16">
        <v>17.5</v>
      </c>
      <c r="O16">
        <v>52</v>
      </c>
      <c r="P16">
        <v>65.7</v>
      </c>
      <c r="Q16" s="1">
        <f t="shared" si="18"/>
        <v>502857.14285426942</v>
      </c>
      <c r="R16" s="1">
        <f t="shared" si="19"/>
        <v>5101923.0769132655</v>
      </c>
      <c r="S16" s="1">
        <f t="shared" si="20"/>
        <v>3572298.3257175456</v>
      </c>
      <c r="T16" s="1">
        <f t="shared" si="2"/>
        <v>9177078.5454850812</v>
      </c>
      <c r="U16" s="9">
        <f t="shared" si="3"/>
        <v>0.79545454545909089</v>
      </c>
      <c r="V16" s="9">
        <f t="shared" si="4"/>
        <v>0.15680361854534489</v>
      </c>
      <c r="W16" s="9">
        <f t="shared" si="5"/>
        <v>0.22394546229262893</v>
      </c>
      <c r="X16" s="3">
        <f t="shared" si="6"/>
        <v>-2.5520011761599015</v>
      </c>
      <c r="Y16" s="3">
        <f t="shared" si="7"/>
        <v>0.29981337000501485</v>
      </c>
      <c r="AA16" t="s">
        <v>8</v>
      </c>
      <c r="AB16" t="s">
        <v>2</v>
      </c>
      <c r="AC16">
        <v>15</v>
      </c>
      <c r="AD16">
        <v>302</v>
      </c>
      <c r="AE16">
        <v>209</v>
      </c>
      <c r="AF16">
        <f t="shared" si="21"/>
        <v>209</v>
      </c>
      <c r="AG16">
        <v>3</v>
      </c>
      <c r="AH16">
        <v>5.9</v>
      </c>
      <c r="AI16">
        <v>5.9</v>
      </c>
      <c r="AJ16" s="9">
        <f t="shared" si="8"/>
        <v>2.9829545454715909</v>
      </c>
      <c r="AK16" s="9">
        <f t="shared" si="9"/>
        <v>5.91933660008677</v>
      </c>
      <c r="AL16" s="9">
        <f t="shared" si="10"/>
        <v>5.8505752023949302</v>
      </c>
      <c r="AM16" s="3">
        <f t="shared" si="11"/>
        <v>0.49014337184307621</v>
      </c>
      <c r="AN16" s="3">
        <f t="shared" si="12"/>
        <v>-1.1752929466438244E-2</v>
      </c>
      <c r="AO16" s="3"/>
      <c r="AP16">
        <v>5</v>
      </c>
      <c r="AQ16">
        <v>20</v>
      </c>
      <c r="AR16">
        <v>14</v>
      </c>
      <c r="AS16">
        <v>1</v>
      </c>
      <c r="AT16">
        <v>0.4</v>
      </c>
      <c r="AU16">
        <v>0.4</v>
      </c>
      <c r="AV16" s="9">
        <f t="shared" si="13"/>
        <v>0.99431818182386367</v>
      </c>
      <c r="AW16" s="9">
        <f t="shared" si="14"/>
        <v>0.3920090463633622</v>
      </c>
      <c r="AX16" s="9">
        <f t="shared" si="15"/>
        <v>0.39190455901210058</v>
      </c>
      <c r="AY16" s="3">
        <f t="shared" si="16"/>
        <v>-1.5371436972570729</v>
      </c>
      <c r="AZ16" s="3">
        <f t="shared" si="17"/>
        <v>-2.6661427855034781E-4</v>
      </c>
    </row>
    <row r="17" spans="1:52" x14ac:dyDescent="0.25">
      <c r="A17" t="s">
        <v>9</v>
      </c>
      <c r="B17" t="s">
        <v>72</v>
      </c>
      <c r="C17">
        <v>2</v>
      </c>
      <c r="D17">
        <v>12</v>
      </c>
      <c r="E17">
        <v>10</v>
      </c>
      <c r="F17">
        <v>0.3</v>
      </c>
      <c r="G17">
        <v>0.2</v>
      </c>
      <c r="H17">
        <v>0.3</v>
      </c>
      <c r="I17" s="2" t="s">
        <v>9</v>
      </c>
      <c r="J17" t="s">
        <v>72</v>
      </c>
      <c r="K17">
        <v>224</v>
      </c>
      <c r="L17">
        <v>4301</v>
      </c>
      <c r="M17">
        <v>4095</v>
      </c>
      <c r="N17">
        <v>38.6</v>
      </c>
      <c r="O17">
        <v>85.5</v>
      </c>
      <c r="P17">
        <v>115.1</v>
      </c>
      <c r="Q17" s="1">
        <f t="shared" si="18"/>
        <v>580310.88082751213</v>
      </c>
      <c r="R17" s="1">
        <f t="shared" si="19"/>
        <v>5030409.3567192629</v>
      </c>
      <c r="S17" s="1">
        <f t="shared" si="20"/>
        <v>3557775.8470863965</v>
      </c>
      <c r="T17" s="1">
        <f t="shared" si="2"/>
        <v>9168496.0846331716</v>
      </c>
      <c r="U17" s="9">
        <f t="shared" si="3"/>
        <v>0.34464285714375004</v>
      </c>
      <c r="V17" s="9">
        <f t="shared" si="4"/>
        <v>0.23854917461083466</v>
      </c>
      <c r="W17" s="9">
        <f t="shared" si="5"/>
        <v>0.28107448107472527</v>
      </c>
      <c r="X17" s="3">
        <f t="shared" si="6"/>
        <v>-0.2261620330168812</v>
      </c>
      <c r="Y17" s="3">
        <f t="shared" si="7"/>
        <v>0.15129550822717697</v>
      </c>
      <c r="AA17" t="s">
        <v>9</v>
      </c>
      <c r="AB17" t="s">
        <v>2</v>
      </c>
      <c r="AC17">
        <v>18</v>
      </c>
      <c r="AD17">
        <v>285</v>
      </c>
      <c r="AE17">
        <v>216</v>
      </c>
      <c r="AF17">
        <f t="shared" si="21"/>
        <v>216</v>
      </c>
      <c r="AG17">
        <v>3.1</v>
      </c>
      <c r="AH17">
        <v>5.7</v>
      </c>
      <c r="AI17">
        <v>6.1</v>
      </c>
      <c r="AJ17" s="9">
        <f t="shared" si="8"/>
        <v>3.1017857142937504</v>
      </c>
      <c r="AK17" s="9">
        <f t="shared" si="9"/>
        <v>5.6655428970073238</v>
      </c>
      <c r="AL17" s="9">
        <f t="shared" si="10"/>
        <v>6.0712087912140662</v>
      </c>
      <c r="AM17" s="3">
        <f t="shared" si="11"/>
        <v>0.48909915290963291</v>
      </c>
      <c r="AN17" s="3">
        <f t="shared" si="12"/>
        <v>6.6817977796085781E-2</v>
      </c>
      <c r="AO17" s="3"/>
      <c r="AP17">
        <v>1</v>
      </c>
      <c r="AQ17">
        <v>8</v>
      </c>
      <c r="AR17">
        <v>6</v>
      </c>
      <c r="AS17">
        <v>0.2</v>
      </c>
      <c r="AT17">
        <v>0.2</v>
      </c>
      <c r="AU17">
        <v>0.2</v>
      </c>
      <c r="AV17" s="9">
        <f t="shared" si="13"/>
        <v>0.17232142857187502</v>
      </c>
      <c r="AW17" s="9">
        <f t="shared" si="14"/>
        <v>0.15903278307388979</v>
      </c>
      <c r="AX17" s="9">
        <f t="shared" si="15"/>
        <v>0.16864468864483514</v>
      </c>
      <c r="AY17" s="3">
        <f t="shared" si="16"/>
        <v>-2.180169418073441E-2</v>
      </c>
      <c r="AZ17" s="3">
        <f t="shared" si="17"/>
        <v>5.6995009141307618E-2</v>
      </c>
    </row>
    <row r="18" spans="1:52" x14ac:dyDescent="0.25">
      <c r="A18" t="s">
        <v>10</v>
      </c>
      <c r="B18" t="s">
        <v>72</v>
      </c>
      <c r="C18">
        <v>1</v>
      </c>
      <c r="D18">
        <v>9</v>
      </c>
      <c r="E18">
        <v>5</v>
      </c>
      <c r="F18">
        <v>0.2</v>
      </c>
      <c r="G18">
        <v>0.2</v>
      </c>
      <c r="H18">
        <v>0.1</v>
      </c>
      <c r="I18" s="2" t="s">
        <v>10</v>
      </c>
      <c r="J18" t="s">
        <v>72</v>
      </c>
      <c r="K18">
        <v>168</v>
      </c>
      <c r="L18">
        <v>3866</v>
      </c>
      <c r="M18">
        <v>3776</v>
      </c>
      <c r="N18">
        <v>25.7</v>
      </c>
      <c r="O18">
        <v>78</v>
      </c>
      <c r="P18">
        <v>106.5</v>
      </c>
      <c r="Q18" s="1">
        <f t="shared" si="18"/>
        <v>653696.49805193115</v>
      </c>
      <c r="R18" s="1">
        <f t="shared" si="19"/>
        <v>4956410.2564039016</v>
      </c>
      <c r="S18" s="1">
        <f t="shared" si="20"/>
        <v>3545539.9060999569</v>
      </c>
      <c r="T18" s="1">
        <f t="shared" si="2"/>
        <v>9155646.6605557892</v>
      </c>
      <c r="U18" s="9">
        <f t="shared" si="3"/>
        <v>0.15297619047678573</v>
      </c>
      <c r="V18" s="9">
        <f t="shared" si="4"/>
        <v>0.18158303155739783</v>
      </c>
      <c r="W18" s="9">
        <f t="shared" si="5"/>
        <v>0.14102224576284428</v>
      </c>
      <c r="X18" s="3">
        <f t="shared" si="6"/>
        <v>-8.4766376037184177E-2</v>
      </c>
      <c r="Y18" s="3">
        <f t="shared" si="7"/>
        <v>-0.28761976931472377</v>
      </c>
      <c r="AA18" t="s">
        <v>10</v>
      </c>
      <c r="AB18" t="s">
        <v>2</v>
      </c>
      <c r="AC18">
        <v>26</v>
      </c>
      <c r="AD18">
        <v>299</v>
      </c>
      <c r="AE18">
        <v>234</v>
      </c>
      <c r="AF18">
        <f t="shared" si="21"/>
        <v>234</v>
      </c>
      <c r="AG18">
        <v>4</v>
      </c>
      <c r="AH18">
        <v>6</v>
      </c>
      <c r="AI18">
        <v>6.6</v>
      </c>
      <c r="AJ18" s="9">
        <f t="shared" si="8"/>
        <v>3.977380952396429</v>
      </c>
      <c r="AK18" s="9">
        <f t="shared" si="9"/>
        <v>6.0325918261846612</v>
      </c>
      <c r="AL18" s="9">
        <f t="shared" si="10"/>
        <v>6.5998411017011129</v>
      </c>
      <c r="AM18" s="3">
        <f t="shared" si="11"/>
        <v>0.39735201331267556</v>
      </c>
      <c r="AN18" s="3">
        <f t="shared" si="12"/>
        <v>8.5948929190165391E-2</v>
      </c>
      <c r="AO18" s="3"/>
      <c r="AP18">
        <v>3</v>
      </c>
      <c r="AQ18">
        <v>17</v>
      </c>
      <c r="AR18">
        <v>8</v>
      </c>
      <c r="AS18">
        <v>0.5</v>
      </c>
      <c r="AT18">
        <v>0.3</v>
      </c>
      <c r="AU18">
        <v>0.2</v>
      </c>
      <c r="AV18" s="9">
        <f t="shared" si="13"/>
        <v>0.45892857143035715</v>
      </c>
      <c r="AW18" s="9">
        <f t="shared" si="14"/>
        <v>0.34299017071952925</v>
      </c>
      <c r="AX18" s="9">
        <f t="shared" si="15"/>
        <v>0.22563559322055088</v>
      </c>
      <c r="AY18" s="3">
        <f t="shared" si="16"/>
        <v>-1.0339369550697195</v>
      </c>
      <c r="AZ18" s="3">
        <f t="shared" si="17"/>
        <v>-0.52010667210765993</v>
      </c>
    </row>
    <row r="19" spans="1:52" x14ac:dyDescent="0.25">
      <c r="A19" t="s">
        <v>11</v>
      </c>
      <c r="B19" t="s">
        <v>72</v>
      </c>
      <c r="C19">
        <v>4</v>
      </c>
      <c r="D19">
        <v>14</v>
      </c>
      <c r="E19">
        <v>5</v>
      </c>
      <c r="F19">
        <v>0.6</v>
      </c>
      <c r="G19">
        <v>0.3</v>
      </c>
      <c r="H19">
        <v>0.1</v>
      </c>
      <c r="I19" s="2" t="s">
        <v>11</v>
      </c>
      <c r="J19" t="s">
        <v>72</v>
      </c>
      <c r="K19">
        <v>194</v>
      </c>
      <c r="L19">
        <v>3758</v>
      </c>
      <c r="M19">
        <v>3904</v>
      </c>
      <c r="N19">
        <v>27</v>
      </c>
      <c r="O19">
        <v>76.7</v>
      </c>
      <c r="P19">
        <v>110.5</v>
      </c>
      <c r="Q19" s="1">
        <f>K19*100000/N19</f>
        <v>718518.51851851854</v>
      </c>
      <c r="R19" s="1">
        <f>L19*100000/O19</f>
        <v>4899608.8657105602</v>
      </c>
      <c r="S19" s="1">
        <f>M19*100000/P19</f>
        <v>3533031.6742081447</v>
      </c>
      <c r="T19" s="1">
        <f t="shared" si="2"/>
        <v>9151159.0584372245</v>
      </c>
      <c r="U19" s="9">
        <f t="shared" si="3"/>
        <v>0.55670103092783507</v>
      </c>
      <c r="V19" s="9">
        <f t="shared" si="4"/>
        <v>0.28573709419904209</v>
      </c>
      <c r="W19" s="9">
        <f t="shared" si="5"/>
        <v>0.14152151639344263</v>
      </c>
      <c r="X19" s="3">
        <f t="shared" si="6"/>
        <v>-2.9336847506647388</v>
      </c>
      <c r="Y19" s="3">
        <f t="shared" si="7"/>
        <v>-1.0190364086028239</v>
      </c>
      <c r="AA19" t="s">
        <v>11</v>
      </c>
      <c r="AB19" t="s">
        <v>2</v>
      </c>
      <c r="AC19">
        <v>30</v>
      </c>
      <c r="AD19">
        <v>297</v>
      </c>
      <c r="AE19">
        <v>257</v>
      </c>
      <c r="AF19">
        <f t="shared" si="21"/>
        <v>257</v>
      </c>
      <c r="AG19">
        <v>4.2</v>
      </c>
      <c r="AH19">
        <v>6.1</v>
      </c>
      <c r="AI19">
        <v>7.3</v>
      </c>
      <c r="AJ19" s="9">
        <f t="shared" si="8"/>
        <v>4.1752577319587623</v>
      </c>
      <c r="AK19" s="9">
        <f t="shared" ref="AK19:AK32" si="22">AD19/R19*100000</f>
        <v>6.0617083555082498</v>
      </c>
      <c r="AL19" s="9">
        <f t="shared" ref="AL19:AL32" si="23">AE19/S19*100000</f>
        <v>7.2742059426229506</v>
      </c>
      <c r="AM19" s="3">
        <f t="shared" si="11"/>
        <v>0.42601876206253819</v>
      </c>
      <c r="AN19" s="3">
        <f t="shared" si="12"/>
        <v>0.16668452841156367</v>
      </c>
      <c r="AO19" s="3"/>
      <c r="AP19">
        <v>3</v>
      </c>
      <c r="AQ19">
        <v>11</v>
      </c>
      <c r="AR19">
        <v>21</v>
      </c>
      <c r="AS19">
        <v>0.4</v>
      </c>
      <c r="AT19">
        <v>0.2</v>
      </c>
      <c r="AU19">
        <v>0.6</v>
      </c>
      <c r="AV19" s="9">
        <f t="shared" si="13"/>
        <v>0.4175257731958763</v>
      </c>
      <c r="AW19" s="9">
        <f t="shared" si="14"/>
        <v>0.22450771687067592</v>
      </c>
      <c r="AX19" s="9">
        <f t="shared" si="15"/>
        <v>0.59439036885245899</v>
      </c>
      <c r="AY19" s="3">
        <f t="shared" si="16"/>
        <v>0.29755629452415377</v>
      </c>
      <c r="AZ19" s="3">
        <f t="shared" si="17"/>
        <v>0.62228910723416564</v>
      </c>
    </row>
    <row r="20" spans="1:52" x14ac:dyDescent="0.25">
      <c r="A20" t="s">
        <v>12</v>
      </c>
      <c r="B20" t="s">
        <v>72</v>
      </c>
      <c r="C20">
        <v>1</v>
      </c>
      <c r="D20">
        <v>14</v>
      </c>
      <c r="E20">
        <v>11</v>
      </c>
      <c r="F20">
        <v>0.1</v>
      </c>
      <c r="G20">
        <v>0.3</v>
      </c>
      <c r="H20">
        <v>0.3</v>
      </c>
      <c r="I20" s="2" t="s">
        <v>12</v>
      </c>
      <c r="J20" t="s">
        <v>72</v>
      </c>
      <c r="K20">
        <v>171</v>
      </c>
      <c r="L20">
        <v>3728</v>
      </c>
      <c r="M20">
        <v>3758</v>
      </c>
      <c r="N20">
        <v>22</v>
      </c>
      <c r="O20">
        <v>77</v>
      </c>
      <c r="P20">
        <v>106.8</v>
      </c>
      <c r="Q20" s="1">
        <f t="shared" ref="Q20:S21" si="24">K20*100000/(N20+0.0000000001)</f>
        <v>777272.72726919432</v>
      </c>
      <c r="R20" s="1">
        <f t="shared" si="24"/>
        <v>4841558.4415521538</v>
      </c>
      <c r="S20" s="1">
        <f t="shared" si="24"/>
        <v>3518726.5917570051</v>
      </c>
      <c r="T20" s="1">
        <f t="shared" si="2"/>
        <v>9137557.760578353</v>
      </c>
      <c r="U20" s="9">
        <f t="shared" si="3"/>
        <v>0.12865497076081869</v>
      </c>
      <c r="V20" s="9">
        <f t="shared" si="4"/>
        <v>0.28916309012913094</v>
      </c>
      <c r="W20" s="9">
        <f t="shared" si="5"/>
        <v>0.31261309207054283</v>
      </c>
      <c r="X20" s="3">
        <f t="shared" si="6"/>
        <v>0.58845303020198847</v>
      </c>
      <c r="Y20" s="3">
        <f t="shared" si="7"/>
        <v>7.5012859461817682E-2</v>
      </c>
      <c r="AA20" t="s">
        <v>12</v>
      </c>
      <c r="AB20" t="s">
        <v>2</v>
      </c>
      <c r="AC20">
        <v>32</v>
      </c>
      <c r="AD20">
        <v>292</v>
      </c>
      <c r="AE20">
        <v>261</v>
      </c>
      <c r="AF20">
        <f t="shared" si="21"/>
        <v>261</v>
      </c>
      <c r="AG20">
        <v>4.0999999999999996</v>
      </c>
      <c r="AH20">
        <v>6</v>
      </c>
      <c r="AI20">
        <v>7.4</v>
      </c>
      <c r="AJ20" s="9">
        <f t="shared" si="8"/>
        <v>4.1169590643461982</v>
      </c>
      <c r="AK20" s="9">
        <f t="shared" si="22"/>
        <v>6.0311158798361593</v>
      </c>
      <c r="AL20" s="9">
        <f t="shared" si="23"/>
        <v>7.4174560936737892</v>
      </c>
      <c r="AM20" s="3">
        <f t="shared" si="11"/>
        <v>0.44496347368237521</v>
      </c>
      <c r="AN20" s="3">
        <f t="shared" si="12"/>
        <v>0.18690238220891042</v>
      </c>
      <c r="AO20" s="3"/>
      <c r="AP20">
        <v>0</v>
      </c>
      <c r="AQ20">
        <v>14</v>
      </c>
      <c r="AR20">
        <v>11</v>
      </c>
      <c r="AS20">
        <v>0</v>
      </c>
      <c r="AT20">
        <v>0.3</v>
      </c>
      <c r="AU20">
        <v>0.3</v>
      </c>
      <c r="AV20" s="9">
        <f t="shared" si="13"/>
        <v>0</v>
      </c>
      <c r="AW20" s="9">
        <f t="shared" si="14"/>
        <v>0.28916309012913094</v>
      </c>
      <c r="AX20" s="9">
        <f t="shared" si="15"/>
        <v>0.31261309207054283</v>
      </c>
      <c r="AY20" s="3">
        <f t="shared" si="16"/>
        <v>1</v>
      </c>
      <c r="AZ20" s="3">
        <f t="shared" si="17"/>
        <v>7.5012859461817682E-2</v>
      </c>
    </row>
    <row r="21" spans="1:52" x14ac:dyDescent="0.25">
      <c r="A21" t="s">
        <v>13</v>
      </c>
      <c r="B21" t="s">
        <v>72</v>
      </c>
      <c r="C21">
        <v>5</v>
      </c>
      <c r="D21">
        <v>11</v>
      </c>
      <c r="E21">
        <v>4</v>
      </c>
      <c r="F21">
        <v>0.6</v>
      </c>
      <c r="G21">
        <v>0.2</v>
      </c>
      <c r="H21">
        <v>0.1</v>
      </c>
      <c r="I21" s="2" t="s">
        <v>13</v>
      </c>
      <c r="J21" t="s">
        <v>72</v>
      </c>
      <c r="K21">
        <v>151</v>
      </c>
      <c r="L21">
        <v>3632</v>
      </c>
      <c r="M21">
        <v>3958</v>
      </c>
      <c r="N21">
        <v>18.399999999999999</v>
      </c>
      <c r="O21">
        <v>75.599999999999994</v>
      </c>
      <c r="P21">
        <v>112.8</v>
      </c>
      <c r="Q21" s="1">
        <f t="shared" si="24"/>
        <v>820652.17390858359</v>
      </c>
      <c r="R21" s="1">
        <f t="shared" si="24"/>
        <v>4804232.8042264497</v>
      </c>
      <c r="S21" s="1">
        <f t="shared" si="24"/>
        <v>3508865.2482238398</v>
      </c>
      <c r="T21" s="1">
        <f t="shared" si="2"/>
        <v>9133750.2263588738</v>
      </c>
      <c r="U21" s="9">
        <f t="shared" si="3"/>
        <v>0.60927152318211908</v>
      </c>
      <c r="V21" s="9">
        <f t="shared" si="4"/>
        <v>0.22896475770955396</v>
      </c>
      <c r="W21" s="9">
        <f t="shared" si="5"/>
        <v>0.11399696816584132</v>
      </c>
      <c r="X21" s="3">
        <f t="shared" si="6"/>
        <v>-4.344629186065359</v>
      </c>
      <c r="Y21" s="3">
        <f t="shared" si="7"/>
        <v>-1.0085162034876136</v>
      </c>
      <c r="AA21" t="s">
        <v>13</v>
      </c>
      <c r="AB21" t="s">
        <v>2</v>
      </c>
      <c r="AC21">
        <v>37</v>
      </c>
      <c r="AD21">
        <v>286</v>
      </c>
      <c r="AE21">
        <v>270</v>
      </c>
      <c r="AF21">
        <f t="shared" si="21"/>
        <v>270</v>
      </c>
      <c r="AG21">
        <v>4.5</v>
      </c>
      <c r="AH21">
        <v>6</v>
      </c>
      <c r="AI21">
        <v>7.7</v>
      </c>
      <c r="AJ21" s="9">
        <f t="shared" si="8"/>
        <v>4.5086092715476811</v>
      </c>
      <c r="AK21" s="9">
        <f t="shared" si="22"/>
        <v>5.9530837004484027</v>
      </c>
      <c r="AL21" s="9">
        <f t="shared" si="23"/>
        <v>7.6947953511942897</v>
      </c>
      <c r="AM21" s="3">
        <f t="shared" si="11"/>
        <v>0.4140702818239459</v>
      </c>
      <c r="AN21" s="3">
        <f t="shared" si="12"/>
        <v>0.22634931421217852</v>
      </c>
      <c r="AO21" s="3"/>
      <c r="AP21">
        <v>3</v>
      </c>
      <c r="AQ21">
        <v>10</v>
      </c>
      <c r="AR21">
        <v>11</v>
      </c>
      <c r="AS21">
        <v>0.4</v>
      </c>
      <c r="AT21">
        <v>0.2</v>
      </c>
      <c r="AU21">
        <v>0.3</v>
      </c>
      <c r="AV21" s="9">
        <f t="shared" si="13"/>
        <v>0.36556291390927148</v>
      </c>
      <c r="AW21" s="9">
        <f t="shared" si="14"/>
        <v>0.20814977973595813</v>
      </c>
      <c r="AX21" s="9">
        <f t="shared" si="15"/>
        <v>0.31349166245606369</v>
      </c>
      <c r="AY21" s="3">
        <f t="shared" si="16"/>
        <v>-0.16610091332335086</v>
      </c>
      <c r="AZ21" s="3">
        <f t="shared" si="17"/>
        <v>0.33602770132640891</v>
      </c>
    </row>
    <row r="22" spans="1:52" x14ac:dyDescent="0.25">
      <c r="A22" t="s">
        <v>14</v>
      </c>
      <c r="B22" t="s">
        <v>72</v>
      </c>
      <c r="C22">
        <v>2</v>
      </c>
      <c r="D22">
        <v>10</v>
      </c>
      <c r="E22">
        <v>10</v>
      </c>
      <c r="F22">
        <v>0.2</v>
      </c>
      <c r="G22">
        <v>0.2</v>
      </c>
      <c r="H22">
        <v>0.3</v>
      </c>
      <c r="I22" s="2" t="s">
        <v>14</v>
      </c>
      <c r="J22" t="s">
        <v>72</v>
      </c>
      <c r="K22">
        <v>98</v>
      </c>
      <c r="L22">
        <v>2531</v>
      </c>
      <c r="M22">
        <v>2683</v>
      </c>
      <c r="N22">
        <v>11.3</v>
      </c>
      <c r="O22">
        <v>53.2</v>
      </c>
      <c r="P22">
        <v>76.5</v>
      </c>
      <c r="Q22" s="1">
        <f>K22*100000/N22</f>
        <v>867256.63716814155</v>
      </c>
      <c r="R22" s="1">
        <f>L22*100000/O22</f>
        <v>4757518.7969924808</v>
      </c>
      <c r="S22" s="1">
        <f>M22*100000/P22</f>
        <v>3507189.5424836599</v>
      </c>
      <c r="T22" s="1">
        <f t="shared" si="2"/>
        <v>9131964.9766442813</v>
      </c>
      <c r="U22" s="9">
        <f t="shared" si="3"/>
        <v>0.23061224489795917</v>
      </c>
      <c r="V22" s="9">
        <f t="shared" si="4"/>
        <v>0.2101935993678388</v>
      </c>
      <c r="W22" s="9">
        <f t="shared" si="5"/>
        <v>0.28512858740216179</v>
      </c>
      <c r="X22" s="3">
        <f t="shared" si="6"/>
        <v>0.19119914632519686</v>
      </c>
      <c r="Y22" s="3">
        <f t="shared" si="7"/>
        <v>0.26281120640011579</v>
      </c>
      <c r="AA22" t="s">
        <v>14</v>
      </c>
      <c r="AB22" t="s">
        <v>2</v>
      </c>
      <c r="AC22">
        <v>44</v>
      </c>
      <c r="AD22">
        <v>300</v>
      </c>
      <c r="AE22">
        <v>301</v>
      </c>
      <c r="AF22">
        <f t="shared" si="21"/>
        <v>301</v>
      </c>
      <c r="AG22">
        <v>5.0999999999999996</v>
      </c>
      <c r="AH22">
        <v>6.3</v>
      </c>
      <c r="AI22">
        <v>8.6</v>
      </c>
      <c r="AJ22" s="9">
        <f t="shared" si="8"/>
        <v>5.073469387755102</v>
      </c>
      <c r="AK22" s="9">
        <f t="shared" si="22"/>
        <v>6.3058079810351648</v>
      </c>
      <c r="AL22" s="9">
        <f t="shared" si="23"/>
        <v>8.5823704808050696</v>
      </c>
      <c r="AM22" s="3">
        <f t="shared" si="11"/>
        <v>0.40884987439050935</v>
      </c>
      <c r="AN22" s="3">
        <f t="shared" si="12"/>
        <v>0.26526033860476639</v>
      </c>
      <c r="AO22" s="3"/>
      <c r="AP22">
        <v>4</v>
      </c>
      <c r="AQ22">
        <v>9</v>
      </c>
      <c r="AR22">
        <v>20</v>
      </c>
      <c r="AS22">
        <v>0.5</v>
      </c>
      <c r="AT22">
        <v>0.2</v>
      </c>
      <c r="AU22">
        <v>0.6</v>
      </c>
      <c r="AV22" s="9">
        <f t="shared" si="13"/>
        <v>0.46122448979591835</v>
      </c>
      <c r="AW22" s="9">
        <f t="shared" si="14"/>
        <v>0.18917423943105494</v>
      </c>
      <c r="AX22" s="9">
        <f t="shared" si="15"/>
        <v>0.57025717480432359</v>
      </c>
      <c r="AY22" s="3">
        <f t="shared" si="16"/>
        <v>0.19119914632519686</v>
      </c>
      <c r="AZ22" s="3">
        <f t="shared" si="17"/>
        <v>0.66826504288005206</v>
      </c>
    </row>
    <row r="23" spans="1:52" x14ac:dyDescent="0.25">
      <c r="A23" t="s">
        <v>15</v>
      </c>
      <c r="B23" t="s">
        <v>72</v>
      </c>
      <c r="C23">
        <v>2</v>
      </c>
      <c r="D23">
        <v>14</v>
      </c>
      <c r="E23">
        <v>12</v>
      </c>
      <c r="F23">
        <v>0.2</v>
      </c>
      <c r="G23">
        <v>0.3</v>
      </c>
      <c r="H23">
        <v>0.3</v>
      </c>
      <c r="I23" s="2" t="s">
        <v>15</v>
      </c>
      <c r="J23" t="s">
        <v>72</v>
      </c>
      <c r="K23">
        <v>175</v>
      </c>
      <c r="L23">
        <v>3216</v>
      </c>
      <c r="M23">
        <v>3054</v>
      </c>
      <c r="N23">
        <v>18.2</v>
      </c>
      <c r="O23">
        <v>68.900000000000006</v>
      </c>
      <c r="P23">
        <v>87.4</v>
      </c>
      <c r="Q23" s="1">
        <f t="shared" ref="Q23:S24" si="25">K23*100000/(N23+0.0000000001)</f>
        <v>961538.46153317846</v>
      </c>
      <c r="R23" s="1">
        <f t="shared" si="25"/>
        <v>4667634.2525331378</v>
      </c>
      <c r="S23" s="1">
        <f t="shared" si="25"/>
        <v>3494279.1761973747</v>
      </c>
      <c r="T23" s="1">
        <f t="shared" si="2"/>
        <v>9123451.8902636915</v>
      </c>
      <c r="U23" s="9">
        <f t="shared" si="3"/>
        <v>0.20800000000114283</v>
      </c>
      <c r="V23" s="9">
        <f t="shared" si="4"/>
        <v>0.29993781094570898</v>
      </c>
      <c r="W23" s="9">
        <f t="shared" si="5"/>
        <v>0.34341846758389</v>
      </c>
      <c r="X23" s="3">
        <f t="shared" si="6"/>
        <v>0.39432494278912722</v>
      </c>
      <c r="Y23" s="3">
        <f t="shared" si="7"/>
        <v>0.12661129421515338</v>
      </c>
      <c r="AA23" t="s">
        <v>15</v>
      </c>
      <c r="AB23" t="s">
        <v>2</v>
      </c>
      <c r="AC23">
        <v>52</v>
      </c>
      <c r="AD23">
        <v>314</v>
      </c>
      <c r="AE23">
        <v>311</v>
      </c>
      <c r="AF23">
        <f t="shared" si="21"/>
        <v>311</v>
      </c>
      <c r="AG23">
        <v>5.4</v>
      </c>
      <c r="AH23">
        <v>6.7</v>
      </c>
      <c r="AI23">
        <v>8.9</v>
      </c>
      <c r="AJ23" s="9">
        <f t="shared" si="8"/>
        <v>5.4080000000297135</v>
      </c>
      <c r="AK23" s="9">
        <f t="shared" si="22"/>
        <v>6.7271766169251874</v>
      </c>
      <c r="AL23" s="9">
        <f t="shared" si="23"/>
        <v>8.9002619515491492</v>
      </c>
      <c r="AM23" s="3">
        <f t="shared" si="11"/>
        <v>0.39237743456658425</v>
      </c>
      <c r="AN23" s="3">
        <f t="shared" si="12"/>
        <v>0.24415970523718367</v>
      </c>
      <c r="AO23" s="3"/>
      <c r="AP23">
        <v>3</v>
      </c>
      <c r="AQ23">
        <v>12</v>
      </c>
      <c r="AR23">
        <v>17</v>
      </c>
      <c r="AS23">
        <v>0.3</v>
      </c>
      <c r="AT23">
        <v>0.3</v>
      </c>
      <c r="AU23">
        <v>0.5</v>
      </c>
      <c r="AV23" s="9">
        <f t="shared" si="13"/>
        <v>0.31200000000171424</v>
      </c>
      <c r="AW23" s="9">
        <f t="shared" si="14"/>
        <v>0.25708955223917918</v>
      </c>
      <c r="AX23" s="9">
        <f t="shared" si="15"/>
        <v>0.48650949574384417</v>
      </c>
      <c r="AY23" s="3">
        <f t="shared" si="16"/>
        <v>0.35869699824731116</v>
      </c>
      <c r="AZ23" s="3">
        <f t="shared" si="17"/>
        <v>0.47156313599572297</v>
      </c>
    </row>
    <row r="24" spans="1:52" x14ac:dyDescent="0.25">
      <c r="A24" t="s">
        <v>16</v>
      </c>
      <c r="B24" t="s">
        <v>72</v>
      </c>
      <c r="C24">
        <v>8</v>
      </c>
      <c r="D24">
        <v>6</v>
      </c>
      <c r="E24">
        <v>4</v>
      </c>
      <c r="F24">
        <v>0.8</v>
      </c>
      <c r="G24">
        <v>0.1</v>
      </c>
      <c r="H24">
        <v>0.1</v>
      </c>
      <c r="I24" s="2" t="s">
        <v>16</v>
      </c>
      <c r="J24" t="s">
        <v>72</v>
      </c>
      <c r="K24">
        <v>237</v>
      </c>
      <c r="L24">
        <v>4456</v>
      </c>
      <c r="M24">
        <v>5086</v>
      </c>
      <c r="N24">
        <v>22.5</v>
      </c>
      <c r="O24">
        <v>97.3</v>
      </c>
      <c r="P24">
        <v>146</v>
      </c>
      <c r="Q24" s="1">
        <f t="shared" si="25"/>
        <v>1053333.333328652</v>
      </c>
      <c r="R24" s="1">
        <f t="shared" si="25"/>
        <v>4579650.5652573695</v>
      </c>
      <c r="S24" s="1">
        <f t="shared" si="25"/>
        <v>3483561.6438332307</v>
      </c>
      <c r="T24" s="1">
        <f t="shared" si="2"/>
        <v>9116545.5424192529</v>
      </c>
      <c r="U24" s="9">
        <f t="shared" si="3"/>
        <v>0.75949367088945141</v>
      </c>
      <c r="V24" s="9">
        <f t="shared" si="4"/>
        <v>0.13101436265722621</v>
      </c>
      <c r="W24" s="9">
        <f t="shared" si="5"/>
        <v>0.11482500983098702</v>
      </c>
      <c r="X24" s="3">
        <f t="shared" si="6"/>
        <v>-5.6143575516114801</v>
      </c>
      <c r="Y24" s="3">
        <f t="shared" si="7"/>
        <v>-0.14099152135992488</v>
      </c>
      <c r="AA24" t="s">
        <v>16</v>
      </c>
      <c r="AB24" t="s">
        <v>2</v>
      </c>
      <c r="AC24">
        <v>49</v>
      </c>
      <c r="AD24">
        <v>296</v>
      </c>
      <c r="AE24">
        <v>331</v>
      </c>
      <c r="AF24">
        <f t="shared" si="21"/>
        <v>331</v>
      </c>
      <c r="AG24">
        <v>4.7</v>
      </c>
      <c r="AH24">
        <v>6.5</v>
      </c>
      <c r="AI24">
        <v>9.5</v>
      </c>
      <c r="AJ24" s="9">
        <f t="shared" si="8"/>
        <v>4.6518987341978901</v>
      </c>
      <c r="AK24" s="9">
        <f t="shared" si="22"/>
        <v>6.4633752244231593</v>
      </c>
      <c r="AL24" s="9">
        <f t="shared" si="23"/>
        <v>9.5017695635141752</v>
      </c>
      <c r="AM24" s="3">
        <f t="shared" si="11"/>
        <v>0.51041764346078167</v>
      </c>
      <c r="AN24" s="3">
        <f t="shared" si="12"/>
        <v>0.31977141928995412</v>
      </c>
      <c r="AO24" s="3"/>
      <c r="AP24">
        <v>3</v>
      </c>
      <c r="AQ24">
        <v>9</v>
      </c>
      <c r="AR24">
        <v>24</v>
      </c>
      <c r="AS24">
        <v>0.3</v>
      </c>
      <c r="AT24">
        <v>0.2</v>
      </c>
      <c r="AU24">
        <v>0.7</v>
      </c>
      <c r="AV24" s="9">
        <f t="shared" si="13"/>
        <v>0.28481012658354427</v>
      </c>
      <c r="AW24" s="9">
        <f t="shared" si="14"/>
        <v>0.19652154398583929</v>
      </c>
      <c r="AX24" s="9">
        <f t="shared" si="15"/>
        <v>0.6889500589859221</v>
      </c>
      <c r="AY24" s="3">
        <f t="shared" si="16"/>
        <v>0.58660265302428249</v>
      </c>
      <c r="AZ24" s="3">
        <f t="shared" si="17"/>
        <v>0.71475211966001884</v>
      </c>
    </row>
    <row r="25" spans="1:52" x14ac:dyDescent="0.25">
      <c r="A25" t="s">
        <v>17</v>
      </c>
      <c r="B25" t="s">
        <v>72</v>
      </c>
      <c r="C25">
        <v>5</v>
      </c>
      <c r="D25">
        <v>12</v>
      </c>
      <c r="E25">
        <v>8</v>
      </c>
      <c r="F25">
        <v>0.4</v>
      </c>
      <c r="G25">
        <v>0.3</v>
      </c>
      <c r="H25">
        <v>0.2</v>
      </c>
      <c r="I25" s="2" t="s">
        <v>17</v>
      </c>
      <c r="J25" t="s">
        <v>72</v>
      </c>
      <c r="K25">
        <v>278</v>
      </c>
      <c r="L25">
        <v>4509</v>
      </c>
      <c r="M25">
        <v>5049</v>
      </c>
      <c r="N25">
        <v>24.5</v>
      </c>
      <c r="O25">
        <v>100.1</v>
      </c>
      <c r="P25">
        <v>145.5</v>
      </c>
      <c r="Q25" s="1">
        <f>K25*100000/N25</f>
        <v>1134693.8775510204</v>
      </c>
      <c r="R25" s="1">
        <f>L25*100000/O25</f>
        <v>4504495.5044955043</v>
      </c>
      <c r="S25" s="1">
        <f>M25*100000/P25</f>
        <v>3470103.0927835051</v>
      </c>
      <c r="T25" s="1">
        <f t="shared" si="2"/>
        <v>9109292.4748300295</v>
      </c>
      <c r="U25" s="9">
        <f t="shared" si="3"/>
        <v>0.44064748201438853</v>
      </c>
      <c r="V25" s="9">
        <f t="shared" si="4"/>
        <v>0.26640053226879573</v>
      </c>
      <c r="W25" s="9">
        <f t="shared" si="5"/>
        <v>0.23054070112893643</v>
      </c>
      <c r="X25" s="3">
        <f t="shared" si="6"/>
        <v>-0.91136523770674183</v>
      </c>
      <c r="Y25" s="3">
        <f t="shared" si="7"/>
        <v>-0.15554663868139995</v>
      </c>
      <c r="AA25" t="s">
        <v>17</v>
      </c>
      <c r="AB25" t="s">
        <v>2</v>
      </c>
      <c r="AC25">
        <v>56</v>
      </c>
      <c r="AD25">
        <v>279</v>
      </c>
      <c r="AE25">
        <v>344</v>
      </c>
      <c r="AF25">
        <f t="shared" si="21"/>
        <v>344</v>
      </c>
      <c r="AG25">
        <v>4.9000000000000004</v>
      </c>
      <c r="AH25">
        <v>6.2</v>
      </c>
      <c r="AI25">
        <v>9.9</v>
      </c>
      <c r="AJ25" s="9">
        <f t="shared" si="8"/>
        <v>4.9352517985611515</v>
      </c>
      <c r="AK25" s="9">
        <f t="shared" si="22"/>
        <v>6.193812375249502</v>
      </c>
      <c r="AL25" s="9">
        <f t="shared" si="23"/>
        <v>9.9132501485442663</v>
      </c>
      <c r="AM25" s="3">
        <f t="shared" si="11"/>
        <v>0.50215603110894169</v>
      </c>
      <c r="AN25" s="3">
        <f t="shared" si="12"/>
        <v>0.37519861978273128</v>
      </c>
      <c r="AO25" s="3"/>
      <c r="AP25">
        <v>3</v>
      </c>
      <c r="AQ25">
        <v>7</v>
      </c>
      <c r="AR25">
        <v>15</v>
      </c>
      <c r="AS25">
        <v>0.3</v>
      </c>
      <c r="AT25">
        <v>0.2</v>
      </c>
      <c r="AU25">
        <v>0.4</v>
      </c>
      <c r="AV25" s="9">
        <f t="shared" si="13"/>
        <v>0.26438848920863312</v>
      </c>
      <c r="AW25" s="9">
        <f t="shared" si="14"/>
        <v>0.15540031049013087</v>
      </c>
      <c r="AX25" s="9">
        <f t="shared" si="15"/>
        <v>0.43226381461675584</v>
      </c>
      <c r="AY25" s="3">
        <f t="shared" si="16"/>
        <v>0.38836312393384265</v>
      </c>
      <c r="AZ25" s="3">
        <f t="shared" si="17"/>
        <v>0.64049660129912001</v>
      </c>
    </row>
    <row r="26" spans="1:52" x14ac:dyDescent="0.25">
      <c r="A26" t="s">
        <v>18</v>
      </c>
      <c r="B26" t="s">
        <v>72</v>
      </c>
      <c r="C26">
        <v>7</v>
      </c>
      <c r="D26">
        <v>12</v>
      </c>
      <c r="E26">
        <v>9</v>
      </c>
      <c r="F26">
        <v>0.6</v>
      </c>
      <c r="G26">
        <v>0.3</v>
      </c>
      <c r="H26">
        <v>0.3</v>
      </c>
      <c r="I26" s="2" t="s">
        <v>18</v>
      </c>
      <c r="J26" t="s">
        <v>72</v>
      </c>
      <c r="K26">
        <v>263</v>
      </c>
      <c r="L26">
        <v>3918</v>
      </c>
      <c r="M26">
        <v>4805</v>
      </c>
      <c r="N26">
        <v>21.9</v>
      </c>
      <c r="O26">
        <v>88.3</v>
      </c>
      <c r="P26">
        <v>139</v>
      </c>
      <c r="Q26" s="1">
        <f t="shared" ref="Q26:S27" si="26">K26*100000/(N26+0.0000000001)</f>
        <v>1200913.242003649</v>
      </c>
      <c r="R26" s="1">
        <f t="shared" si="26"/>
        <v>4437146.092860207</v>
      </c>
      <c r="S26" s="1">
        <f t="shared" si="26"/>
        <v>3456834.5323716141</v>
      </c>
      <c r="T26" s="1">
        <f t="shared" si="2"/>
        <v>9094893.8672354706</v>
      </c>
      <c r="U26" s="9">
        <f t="shared" si="3"/>
        <v>0.58288973384296572</v>
      </c>
      <c r="V26" s="9">
        <f t="shared" si="4"/>
        <v>0.27044410413506892</v>
      </c>
      <c r="W26" s="9">
        <f t="shared" si="5"/>
        <v>0.26035379812713838</v>
      </c>
      <c r="X26" s="3">
        <f t="shared" si="6"/>
        <v>-1.2388370672369589</v>
      </c>
      <c r="Y26" s="3">
        <f t="shared" si="7"/>
        <v>-3.8756131389345638E-2</v>
      </c>
      <c r="AA26" t="s">
        <v>18</v>
      </c>
      <c r="AB26" t="s">
        <v>2</v>
      </c>
      <c r="AC26">
        <v>52</v>
      </c>
      <c r="AD26">
        <v>278</v>
      </c>
      <c r="AE26">
        <v>360</v>
      </c>
      <c r="AF26">
        <f t="shared" si="21"/>
        <v>360</v>
      </c>
      <c r="AG26">
        <v>4.3</v>
      </c>
      <c r="AH26">
        <v>6.3</v>
      </c>
      <c r="AI26">
        <v>10.4</v>
      </c>
      <c r="AJ26" s="9">
        <f t="shared" si="8"/>
        <v>4.3300380228334596</v>
      </c>
      <c r="AK26" s="9">
        <f t="shared" si="22"/>
        <v>6.2652884124624295</v>
      </c>
      <c r="AL26" s="9">
        <f t="shared" si="23"/>
        <v>10.414151925085534</v>
      </c>
      <c r="AM26" s="3">
        <f t="shared" si="11"/>
        <v>0.58421597322742191</v>
      </c>
      <c r="AN26" s="3">
        <f t="shared" si="12"/>
        <v>0.39838707390367067</v>
      </c>
      <c r="AO26" s="3"/>
      <c r="AP26">
        <v>5</v>
      </c>
      <c r="AQ26">
        <v>13</v>
      </c>
      <c r="AR26">
        <v>16</v>
      </c>
      <c r="AS26">
        <v>0.4</v>
      </c>
      <c r="AT26">
        <v>0.3</v>
      </c>
      <c r="AU26">
        <v>0.5</v>
      </c>
      <c r="AV26" s="9">
        <f t="shared" si="13"/>
        <v>0.4163498098878326</v>
      </c>
      <c r="AW26" s="9">
        <f t="shared" si="14"/>
        <v>0.29298111281299133</v>
      </c>
      <c r="AX26" s="9">
        <f t="shared" si="15"/>
        <v>0.46285119667046826</v>
      </c>
      <c r="AY26" s="3">
        <f t="shared" si="16"/>
        <v>0.10046724977086496</v>
      </c>
      <c r="AZ26" s="3">
        <f t="shared" si="17"/>
        <v>0.36700798243461752</v>
      </c>
    </row>
    <row r="27" spans="1:52" x14ac:dyDescent="0.25">
      <c r="A27" t="s">
        <v>19</v>
      </c>
      <c r="B27" t="s">
        <v>72</v>
      </c>
      <c r="C27">
        <v>3</v>
      </c>
      <c r="D27">
        <v>11</v>
      </c>
      <c r="E27">
        <v>14</v>
      </c>
      <c r="F27">
        <v>0.2</v>
      </c>
      <c r="G27">
        <v>0.3</v>
      </c>
      <c r="H27">
        <v>0.4</v>
      </c>
      <c r="I27" s="2" t="s">
        <v>19</v>
      </c>
      <c r="J27" t="s">
        <v>72</v>
      </c>
      <c r="K27">
        <v>256</v>
      </c>
      <c r="L27">
        <v>3993</v>
      </c>
      <c r="M27">
        <v>4644</v>
      </c>
      <c r="N27">
        <v>20.2</v>
      </c>
      <c r="O27">
        <v>91.2</v>
      </c>
      <c r="P27">
        <v>134.9</v>
      </c>
      <c r="Q27" s="1">
        <f t="shared" si="26"/>
        <v>1267326.7326669935</v>
      </c>
      <c r="R27" s="1">
        <f t="shared" si="26"/>
        <v>4378289.4736794094</v>
      </c>
      <c r="S27" s="1">
        <f t="shared" si="26"/>
        <v>3442550.0370619404</v>
      </c>
      <c r="T27" s="1">
        <f t="shared" si="2"/>
        <v>9088166.2434083428</v>
      </c>
      <c r="U27" s="9">
        <f t="shared" si="3"/>
        <v>0.23671875000117187</v>
      </c>
      <c r="V27" s="9">
        <f t="shared" si="4"/>
        <v>0.25123966942176312</v>
      </c>
      <c r="W27" s="9">
        <f t="shared" si="5"/>
        <v>0.40667527993139529</v>
      </c>
      <c r="X27" s="3">
        <f t="shared" si="6"/>
        <v>0.41791704172157818</v>
      </c>
      <c r="Y27" s="3">
        <f t="shared" si="7"/>
        <v>0.38221061908619969</v>
      </c>
      <c r="AA27" t="s">
        <v>19</v>
      </c>
      <c r="AB27" t="s">
        <v>2</v>
      </c>
      <c r="AC27">
        <v>55</v>
      </c>
      <c r="AD27">
        <v>261</v>
      </c>
      <c r="AE27">
        <v>361</v>
      </c>
      <c r="AF27">
        <f t="shared" si="21"/>
        <v>361</v>
      </c>
      <c r="AG27">
        <v>4.3</v>
      </c>
      <c r="AH27">
        <v>6</v>
      </c>
      <c r="AI27">
        <v>10.5</v>
      </c>
      <c r="AJ27" s="9">
        <f t="shared" si="8"/>
        <v>4.3398437500214841</v>
      </c>
      <c r="AK27" s="9">
        <f t="shared" si="22"/>
        <v>5.9612321562800155</v>
      </c>
      <c r="AL27" s="9">
        <f t="shared" si="23"/>
        <v>10.486412575373837</v>
      </c>
      <c r="AM27" s="3">
        <f t="shared" si="11"/>
        <v>0.58614600380943238</v>
      </c>
      <c r="AN27" s="3">
        <f t="shared" si="12"/>
        <v>0.43152797837848755</v>
      </c>
      <c r="AO27" s="3"/>
      <c r="AP27">
        <v>2</v>
      </c>
      <c r="AQ27">
        <v>10</v>
      </c>
      <c r="AR27">
        <v>13</v>
      </c>
      <c r="AS27">
        <v>0.2</v>
      </c>
      <c r="AT27">
        <v>0.2</v>
      </c>
      <c r="AU27">
        <v>0.4</v>
      </c>
      <c r="AV27" s="9">
        <f t="shared" si="13"/>
        <v>0.15781250000078123</v>
      </c>
      <c r="AW27" s="9">
        <f t="shared" si="14"/>
        <v>0.22839969947433011</v>
      </c>
      <c r="AX27" s="9">
        <f t="shared" si="15"/>
        <v>0.37762704565058142</v>
      </c>
      <c r="AY27" s="3">
        <f t="shared" si="16"/>
        <v>0.58209428636421012</v>
      </c>
      <c r="AZ27" s="3">
        <f t="shared" si="17"/>
        <v>0.39517123546900679</v>
      </c>
    </row>
    <row r="28" spans="1:52" x14ac:dyDescent="0.25">
      <c r="A28" t="s">
        <v>20</v>
      </c>
      <c r="B28" t="s">
        <v>72</v>
      </c>
      <c r="C28">
        <v>6</v>
      </c>
      <c r="D28">
        <v>9</v>
      </c>
      <c r="E28">
        <v>10</v>
      </c>
      <c r="F28">
        <v>0.5</v>
      </c>
      <c r="G28">
        <v>0.2</v>
      </c>
      <c r="H28">
        <v>0.3</v>
      </c>
      <c r="I28" s="2" t="s">
        <v>20</v>
      </c>
      <c r="J28" t="s">
        <v>72</v>
      </c>
      <c r="K28">
        <v>260</v>
      </c>
      <c r="L28">
        <v>3629</v>
      </c>
      <c r="M28">
        <v>4561</v>
      </c>
      <c r="N28">
        <v>19.600000000000001</v>
      </c>
      <c r="O28">
        <v>83.9</v>
      </c>
      <c r="P28">
        <v>132.80000000000001</v>
      </c>
      <c r="Q28" s="1">
        <f>K28*100000/N28</f>
        <v>1326530.6122448978</v>
      </c>
      <c r="R28" s="1">
        <f>L28*100000/O28</f>
        <v>4325387.3659117995</v>
      </c>
      <c r="S28" s="1">
        <f>M28*100000/P28</f>
        <v>3434487.9518072288</v>
      </c>
      <c r="T28" s="1">
        <f t="shared" si="2"/>
        <v>9086405.9299639259</v>
      </c>
      <c r="U28" s="9">
        <f t="shared" si="3"/>
        <v>0.45230769230769236</v>
      </c>
      <c r="V28" s="9">
        <f t="shared" si="4"/>
        <v>0.20807384954532929</v>
      </c>
      <c r="W28" s="9">
        <f t="shared" si="5"/>
        <v>0.29116421837316381</v>
      </c>
      <c r="X28" s="3">
        <f t="shared" si="6"/>
        <v>-0.55344531974050049</v>
      </c>
      <c r="Y28" s="3">
        <f t="shared" si="7"/>
        <v>0.28537287065041661</v>
      </c>
      <c r="AA28" t="s">
        <v>20</v>
      </c>
      <c r="AB28" t="s">
        <v>2</v>
      </c>
      <c r="AC28">
        <v>59</v>
      </c>
      <c r="AD28">
        <v>262</v>
      </c>
      <c r="AE28">
        <v>367</v>
      </c>
      <c r="AF28">
        <f t="shared" si="21"/>
        <v>367</v>
      </c>
      <c r="AG28">
        <v>4.4000000000000004</v>
      </c>
      <c r="AH28">
        <v>6.1</v>
      </c>
      <c r="AI28">
        <v>10.7</v>
      </c>
      <c r="AJ28" s="9">
        <f t="shared" si="8"/>
        <v>4.4476923076923081</v>
      </c>
      <c r="AK28" s="9">
        <f t="shared" si="22"/>
        <v>6.0572609534306974</v>
      </c>
      <c r="AL28" s="9">
        <f t="shared" si="23"/>
        <v>10.68572681429511</v>
      </c>
      <c r="AM28" s="3">
        <f t="shared" si="11"/>
        <v>0.58377259825299932</v>
      </c>
      <c r="AN28" s="3">
        <f t="shared" si="12"/>
        <v>0.43314469303787195</v>
      </c>
      <c r="AO28" s="3"/>
      <c r="AP28">
        <v>3</v>
      </c>
      <c r="AQ28">
        <v>15</v>
      </c>
      <c r="AR28">
        <v>13</v>
      </c>
      <c r="AS28">
        <v>0.2</v>
      </c>
      <c r="AT28">
        <v>0.3</v>
      </c>
      <c r="AU28">
        <v>0.4</v>
      </c>
      <c r="AV28" s="9">
        <f t="shared" si="13"/>
        <v>0.22615384615384618</v>
      </c>
      <c r="AW28" s="9">
        <f t="shared" si="14"/>
        <v>0.34678974924221551</v>
      </c>
      <c r="AX28" s="9">
        <f t="shared" si="15"/>
        <v>0.37851348388511291</v>
      </c>
      <c r="AY28" s="3">
        <f t="shared" si="16"/>
        <v>0.40252103086903823</v>
      </c>
      <c r="AZ28" s="3">
        <f t="shared" si="17"/>
        <v>8.3811372628739056E-2</v>
      </c>
    </row>
    <row r="29" spans="1:52" x14ac:dyDescent="0.25">
      <c r="A29" t="s">
        <v>21</v>
      </c>
      <c r="B29" t="s">
        <v>72</v>
      </c>
      <c r="C29">
        <v>2</v>
      </c>
      <c r="D29">
        <v>11</v>
      </c>
      <c r="E29">
        <v>9</v>
      </c>
      <c r="F29">
        <v>0.1</v>
      </c>
      <c r="G29">
        <v>0.3</v>
      </c>
      <c r="H29">
        <v>0.3</v>
      </c>
      <c r="I29" s="2" t="s">
        <v>21</v>
      </c>
      <c r="J29" t="s">
        <v>72</v>
      </c>
      <c r="K29">
        <v>224</v>
      </c>
      <c r="L29">
        <v>3238</v>
      </c>
      <c r="M29">
        <v>3632</v>
      </c>
      <c r="N29">
        <v>16.2</v>
      </c>
      <c r="O29">
        <v>75.7</v>
      </c>
      <c r="P29">
        <v>105.9</v>
      </c>
      <c r="Q29" s="1">
        <f t="shared" ref="Q29:S32" si="27">K29*100000/(N29+0.0000000001)</f>
        <v>1382716.0493741811</v>
      </c>
      <c r="R29" s="1">
        <f t="shared" si="27"/>
        <v>4277410.8322268464</v>
      </c>
      <c r="S29" s="1">
        <f t="shared" si="27"/>
        <v>3429650.6137833521</v>
      </c>
      <c r="T29" s="1">
        <f t="shared" si="2"/>
        <v>9089777.4953843802</v>
      </c>
      <c r="U29" s="9">
        <f t="shared" si="3"/>
        <v>0.14464285714374997</v>
      </c>
      <c r="V29" s="9">
        <f t="shared" si="4"/>
        <v>0.25716491661553426</v>
      </c>
      <c r="W29" s="9">
        <f t="shared" si="5"/>
        <v>0.26241740088130511</v>
      </c>
      <c r="X29" s="3">
        <f t="shared" si="6"/>
        <v>0.44880615135284463</v>
      </c>
      <c r="Y29" s="3">
        <f t="shared" si="7"/>
        <v>2.0015762095542677E-2</v>
      </c>
      <c r="AA29" t="s">
        <v>21</v>
      </c>
      <c r="AB29" t="s">
        <v>2</v>
      </c>
      <c r="AC29">
        <v>66</v>
      </c>
      <c r="AD29">
        <v>255</v>
      </c>
      <c r="AE29">
        <v>360</v>
      </c>
      <c r="AF29">
        <f t="shared" si="21"/>
        <v>360</v>
      </c>
      <c r="AG29">
        <v>4.8</v>
      </c>
      <c r="AH29">
        <v>6</v>
      </c>
      <c r="AI29">
        <v>10.5</v>
      </c>
      <c r="AJ29" s="9">
        <f t="shared" si="8"/>
        <v>4.773214285743749</v>
      </c>
      <c r="AK29" s="9">
        <f t="shared" si="22"/>
        <v>5.9615503397237495</v>
      </c>
      <c r="AL29" s="9">
        <f t="shared" si="23"/>
        <v>10.496696035252205</v>
      </c>
      <c r="AM29" s="3">
        <f t="shared" si="11"/>
        <v>0.54526507486609688</v>
      </c>
      <c r="AN29" s="3">
        <f t="shared" si="12"/>
        <v>0.43205458939628039</v>
      </c>
      <c r="AO29" s="3"/>
      <c r="AP29">
        <v>4</v>
      </c>
      <c r="AQ29">
        <v>10</v>
      </c>
      <c r="AR29">
        <v>13</v>
      </c>
      <c r="AS29">
        <v>0.3</v>
      </c>
      <c r="AT29">
        <v>0.2</v>
      </c>
      <c r="AU29">
        <v>0.4</v>
      </c>
      <c r="AV29" s="9">
        <f t="shared" si="13"/>
        <v>0.28928571428749994</v>
      </c>
      <c r="AW29" s="9">
        <f t="shared" si="14"/>
        <v>0.23378628783230387</v>
      </c>
      <c r="AX29" s="9">
        <f t="shared" si="15"/>
        <v>0.37904735682855178</v>
      </c>
      <c r="AY29" s="3">
        <f t="shared" si="16"/>
        <v>0.23680851725778485</v>
      </c>
      <c r="AZ29" s="3">
        <f t="shared" si="17"/>
        <v>0.38322670341677501</v>
      </c>
    </row>
    <row r="30" spans="1:52" x14ac:dyDescent="0.25">
      <c r="A30" t="s">
        <v>22</v>
      </c>
      <c r="B30" t="s">
        <v>72</v>
      </c>
      <c r="C30">
        <v>3</v>
      </c>
      <c r="D30">
        <v>14</v>
      </c>
      <c r="E30">
        <v>9</v>
      </c>
      <c r="F30">
        <v>0.2</v>
      </c>
      <c r="G30">
        <v>0.3</v>
      </c>
      <c r="H30">
        <v>0.3</v>
      </c>
      <c r="I30" s="2" t="s">
        <v>22</v>
      </c>
      <c r="J30" t="s">
        <v>72</v>
      </c>
      <c r="K30">
        <v>253</v>
      </c>
      <c r="L30">
        <v>3049</v>
      </c>
      <c r="M30">
        <v>3274</v>
      </c>
      <c r="N30">
        <v>17</v>
      </c>
      <c r="O30">
        <v>73</v>
      </c>
      <c r="P30">
        <v>95.9</v>
      </c>
      <c r="Q30" s="1">
        <f t="shared" si="27"/>
        <v>1488235.2941088928</v>
      </c>
      <c r="R30" s="1">
        <f t="shared" si="27"/>
        <v>4176712.3287614016</v>
      </c>
      <c r="S30" s="1">
        <f t="shared" si="27"/>
        <v>3413972.8884218829</v>
      </c>
      <c r="T30" s="1">
        <f t="shared" si="2"/>
        <v>9078920.5112921782</v>
      </c>
      <c r="U30" s="9">
        <f t="shared" si="3"/>
        <v>0.20158102766916997</v>
      </c>
      <c r="V30" s="9">
        <f t="shared" si="4"/>
        <v>0.33519186618609381</v>
      </c>
      <c r="W30" s="9">
        <f t="shared" si="5"/>
        <v>0.26362248014688455</v>
      </c>
      <c r="X30" s="3">
        <f t="shared" si="6"/>
        <v>0.23534204079692478</v>
      </c>
      <c r="Y30" s="3">
        <f t="shared" si="7"/>
        <v>-0.27148438175428891</v>
      </c>
      <c r="AA30" t="s">
        <v>22</v>
      </c>
      <c r="AB30" t="s">
        <v>2</v>
      </c>
      <c r="AC30">
        <v>71</v>
      </c>
      <c r="AD30">
        <v>269</v>
      </c>
      <c r="AE30">
        <v>398</v>
      </c>
      <c r="AF30">
        <f t="shared" si="21"/>
        <v>398</v>
      </c>
      <c r="AG30">
        <v>4.8</v>
      </c>
      <c r="AH30">
        <v>6.4</v>
      </c>
      <c r="AI30">
        <v>11.7</v>
      </c>
      <c r="AJ30" s="9">
        <f t="shared" si="8"/>
        <v>4.7707509881703549</v>
      </c>
      <c r="AK30" s="9">
        <f t="shared" si="22"/>
        <v>6.4404722860042307</v>
      </c>
      <c r="AL30" s="9">
        <f t="shared" si="23"/>
        <v>11.657971899828896</v>
      </c>
      <c r="AM30" s="3">
        <f t="shared" si="11"/>
        <v>0.5907735042455905</v>
      </c>
      <c r="AN30" s="3">
        <f t="shared" si="12"/>
        <v>0.44754779464696104</v>
      </c>
      <c r="AO30" s="3"/>
      <c r="AP30">
        <v>4</v>
      </c>
      <c r="AQ30">
        <v>12</v>
      </c>
      <c r="AR30">
        <v>11</v>
      </c>
      <c r="AS30">
        <v>0.3</v>
      </c>
      <c r="AT30">
        <v>0.3</v>
      </c>
      <c r="AU30">
        <v>0.3</v>
      </c>
      <c r="AV30" s="9">
        <f t="shared" si="13"/>
        <v>0.26877470355889327</v>
      </c>
      <c r="AW30" s="9">
        <f t="shared" si="14"/>
        <v>0.28730731387379466</v>
      </c>
      <c r="AX30" s="9">
        <f t="shared" si="15"/>
        <v>0.32220525351285895</v>
      </c>
      <c r="AY30" s="3">
        <f t="shared" si="16"/>
        <v>0.16582768086937261</v>
      </c>
      <c r="AZ30" s="3">
        <f t="shared" si="17"/>
        <v>0.10830965435413531</v>
      </c>
    </row>
    <row r="31" spans="1:52" x14ac:dyDescent="0.25">
      <c r="A31" t="s">
        <v>23</v>
      </c>
      <c r="B31" t="s">
        <v>72</v>
      </c>
      <c r="C31">
        <v>2</v>
      </c>
      <c r="D31">
        <v>8</v>
      </c>
      <c r="E31">
        <v>9</v>
      </c>
      <c r="F31">
        <v>0.1</v>
      </c>
      <c r="G31">
        <v>0.2</v>
      </c>
      <c r="H31">
        <v>0.3</v>
      </c>
      <c r="I31" s="2" t="s">
        <v>23</v>
      </c>
      <c r="J31" t="s">
        <v>72</v>
      </c>
      <c r="K31">
        <v>321</v>
      </c>
      <c r="L31">
        <v>4227</v>
      </c>
      <c r="M31">
        <v>6256</v>
      </c>
      <c r="N31">
        <v>20.3</v>
      </c>
      <c r="O31">
        <v>103.3</v>
      </c>
      <c r="P31">
        <v>184.3</v>
      </c>
      <c r="Q31" s="1">
        <f t="shared" si="27"/>
        <v>1581280.7881695505</v>
      </c>
      <c r="R31" s="1">
        <f t="shared" si="27"/>
        <v>4091965.1500444417</v>
      </c>
      <c r="S31" s="1">
        <f t="shared" si="27"/>
        <v>3394465.5453047235</v>
      </c>
      <c r="T31" s="1">
        <f t="shared" si="2"/>
        <v>9067711.4835187159</v>
      </c>
      <c r="U31" s="9">
        <f t="shared" si="3"/>
        <v>0.12647975077943924</v>
      </c>
      <c r="V31" s="9">
        <f t="shared" si="4"/>
        <v>0.19550508634984623</v>
      </c>
      <c r="W31" s="9">
        <f t="shared" si="5"/>
        <v>0.26513746803083438</v>
      </c>
      <c r="X31" s="3">
        <f t="shared" si="6"/>
        <v>0.5229653820005169</v>
      </c>
      <c r="Y31" s="3">
        <f t="shared" si="7"/>
        <v>0.26262746717069119</v>
      </c>
      <c r="AA31" t="s">
        <v>23</v>
      </c>
      <c r="AB31" t="s">
        <v>2</v>
      </c>
      <c r="AC31">
        <v>74</v>
      </c>
      <c r="AD31">
        <v>252</v>
      </c>
      <c r="AE31">
        <v>404</v>
      </c>
      <c r="AF31">
        <f t="shared" si="21"/>
        <v>404</v>
      </c>
      <c r="AG31">
        <v>4.7</v>
      </c>
      <c r="AH31">
        <v>6.2</v>
      </c>
      <c r="AI31">
        <v>11.9</v>
      </c>
      <c r="AJ31" s="9">
        <f t="shared" si="8"/>
        <v>4.6797507788392521</v>
      </c>
      <c r="AK31" s="9">
        <f t="shared" si="22"/>
        <v>6.1584102200201558</v>
      </c>
      <c r="AL31" s="9">
        <f t="shared" si="23"/>
        <v>11.901726342717456</v>
      </c>
      <c r="AM31" s="3">
        <f t="shared" si="11"/>
        <v>0.6068006737776539</v>
      </c>
      <c r="AN31" s="3">
        <f t="shared" si="12"/>
        <v>0.48256160134378967</v>
      </c>
      <c r="AO31" s="3"/>
      <c r="AP31">
        <v>9</v>
      </c>
      <c r="AQ31">
        <v>6</v>
      </c>
      <c r="AR31">
        <v>21</v>
      </c>
      <c r="AS31">
        <v>0.6</v>
      </c>
      <c r="AT31">
        <v>0.1</v>
      </c>
      <c r="AU31">
        <v>0.6</v>
      </c>
      <c r="AV31" s="9">
        <f t="shared" si="13"/>
        <v>0.5691588785074766</v>
      </c>
      <c r="AW31" s="9">
        <f t="shared" si="14"/>
        <v>0.14662881476238468</v>
      </c>
      <c r="AX31" s="9">
        <f t="shared" si="15"/>
        <v>0.61865409207194688</v>
      </c>
      <c r="AY31" s="3">
        <f t="shared" si="16"/>
        <v>8.000466528671113E-2</v>
      </c>
      <c r="AZ31" s="3">
        <f t="shared" si="17"/>
        <v>0.76298740016200783</v>
      </c>
    </row>
    <row r="32" spans="1:52" x14ac:dyDescent="0.25">
      <c r="A32" t="s">
        <v>24</v>
      </c>
      <c r="B32" t="s">
        <v>72</v>
      </c>
      <c r="C32">
        <v>2</v>
      </c>
      <c r="D32">
        <v>11</v>
      </c>
      <c r="E32">
        <v>18</v>
      </c>
      <c r="F32">
        <v>0.1</v>
      </c>
      <c r="G32">
        <v>0.3</v>
      </c>
      <c r="H32">
        <v>0.5</v>
      </c>
      <c r="I32" s="2" t="s">
        <v>24</v>
      </c>
      <c r="J32" t="s">
        <v>72</v>
      </c>
      <c r="K32">
        <v>382</v>
      </c>
      <c r="L32">
        <v>3984</v>
      </c>
      <c r="M32">
        <v>5756</v>
      </c>
      <c r="N32">
        <v>22.8</v>
      </c>
      <c r="O32">
        <v>99.6</v>
      </c>
      <c r="P32">
        <v>170.5</v>
      </c>
      <c r="Q32" s="1">
        <f t="shared" si="27"/>
        <v>1675438.5964838797</v>
      </c>
      <c r="R32" s="1">
        <f t="shared" si="27"/>
        <v>3999999.9999959841</v>
      </c>
      <c r="S32" s="1">
        <f t="shared" si="27"/>
        <v>3375953.079176906</v>
      </c>
      <c r="T32" s="1">
        <f t="shared" si="2"/>
        <v>9051391.6756567694</v>
      </c>
      <c r="U32" s="9">
        <f t="shared" si="3"/>
        <v>0.11937172774921465</v>
      </c>
      <c r="V32" s="9">
        <f t="shared" si="4"/>
        <v>0.27500000000027608</v>
      </c>
      <c r="W32" s="9">
        <f t="shared" si="5"/>
        <v>0.53318276580990265</v>
      </c>
      <c r="X32" s="3">
        <f t="shared" si="6"/>
        <v>0.77611480452131754</v>
      </c>
      <c r="Y32" s="3">
        <f t="shared" si="7"/>
        <v>0.48422939068078819</v>
      </c>
      <c r="AA32" t="s">
        <v>24</v>
      </c>
      <c r="AB32" t="s">
        <v>2</v>
      </c>
      <c r="AC32">
        <v>69</v>
      </c>
      <c r="AD32">
        <v>240</v>
      </c>
      <c r="AE32">
        <v>381</v>
      </c>
      <c r="AF32">
        <f>AE66+AE100</f>
        <v>381</v>
      </c>
      <c r="AG32">
        <v>4.0999999999999996</v>
      </c>
      <c r="AH32">
        <v>6</v>
      </c>
      <c r="AI32">
        <v>11.3</v>
      </c>
      <c r="AJ32" s="9">
        <f t="shared" si="8"/>
        <v>4.1183246073479056</v>
      </c>
      <c r="AK32" s="9">
        <f t="shared" si="22"/>
        <v>6.0000000000060236</v>
      </c>
      <c r="AL32" s="9">
        <f t="shared" si="23"/>
        <v>11.285701876309606</v>
      </c>
      <c r="AM32" s="3">
        <f t="shared" si="11"/>
        <v>0.63508476012529691</v>
      </c>
      <c r="AN32" s="3">
        <f t="shared" si="12"/>
        <v>0.46835384579837869</v>
      </c>
      <c r="AO32" s="3"/>
      <c r="AP32">
        <v>1</v>
      </c>
      <c r="AQ32">
        <v>8</v>
      </c>
      <c r="AR32">
        <v>14</v>
      </c>
      <c r="AS32">
        <v>0.1</v>
      </c>
      <c r="AT32">
        <v>0.2</v>
      </c>
      <c r="AU32">
        <v>0.4</v>
      </c>
      <c r="AV32" s="9">
        <f t="shared" si="13"/>
        <v>5.9685863874607323E-2</v>
      </c>
      <c r="AW32" s="9">
        <f t="shared" si="14"/>
        <v>0.20000000000020077</v>
      </c>
      <c r="AX32" s="9">
        <f t="shared" si="15"/>
        <v>0.4146977067410354</v>
      </c>
      <c r="AY32" s="3">
        <f t="shared" si="16"/>
        <v>0.85607380290656132</v>
      </c>
      <c r="AZ32" s="3">
        <f t="shared" si="17"/>
        <v>0.51772098868852923</v>
      </c>
    </row>
    <row r="34" spans="1:52" x14ac:dyDescent="0.25">
      <c r="A34" t="s">
        <v>49</v>
      </c>
      <c r="B34" t="s">
        <v>50</v>
      </c>
      <c r="C34">
        <f>SUM(C3:C33)</f>
        <v>83</v>
      </c>
      <c r="D34">
        <f t="shared" ref="D34:E34" si="28">SUM(D3:D33)</f>
        <v>307</v>
      </c>
      <c r="E34">
        <f t="shared" si="28"/>
        <v>277</v>
      </c>
      <c r="Q34" s="1">
        <f>AVERAGE(Q3:Q32)</f>
        <v>1200309.5560066684</v>
      </c>
      <c r="R34" s="1">
        <f t="shared" ref="R34:S34" si="29">AVERAGE(R3:R32)</f>
        <v>4446814.2087316792</v>
      </c>
      <c r="S34" s="1">
        <f t="shared" si="29"/>
        <v>3458059.9679393331</v>
      </c>
      <c r="T34" s="1">
        <f>SUM(Q34:S34)</f>
        <v>9105183.7326776795</v>
      </c>
      <c r="AF34" t="s">
        <v>70</v>
      </c>
    </row>
    <row r="35" spans="1:52" x14ac:dyDescent="0.25">
      <c r="Q35" s="3">
        <f>Q34/T34</f>
        <v>0.13182705492244667</v>
      </c>
      <c r="R35" s="3">
        <f>R34/T34</f>
        <v>0.48838269927189565</v>
      </c>
      <c r="S35" s="3">
        <f>S34/T34</f>
        <v>0.37979024580565784</v>
      </c>
      <c r="U35" s="9">
        <f>C34/Q34*100000</f>
        <v>6.9148828803908051</v>
      </c>
      <c r="V35" s="9">
        <f t="shared" ref="V35" si="30">D34/R34*100000</f>
        <v>6.9038189047156662</v>
      </c>
      <c r="W35" s="9">
        <f t="shared" ref="W35" si="31">E34/S34*100000</f>
        <v>8.0102717294710484</v>
      </c>
      <c r="X35" s="3">
        <f t="shared" ref="X35" si="32">1-U35/W35</f>
        <v>0.13674802629355698</v>
      </c>
      <c r="Y35" s="3">
        <f t="shared" ref="Y35" si="33">1-V35/W35</f>
        <v>0.13812924980866359</v>
      </c>
      <c r="AA35" t="s">
        <v>49</v>
      </c>
      <c r="AB35" t="s">
        <v>50</v>
      </c>
      <c r="AC35">
        <f t="shared" ref="AC35:AD35" si="34">SUM(AC3:AC33)</f>
        <v>1378</v>
      </c>
      <c r="AD35">
        <f t="shared" si="34"/>
        <v>7688</v>
      </c>
      <c r="AE35">
        <f>SUM(AE3:AE33)</f>
        <v>9289</v>
      </c>
      <c r="AF35">
        <f>SUM(AF3:AF32)</f>
        <v>9289</v>
      </c>
      <c r="AJ35" s="9">
        <f>AC35/Q34*100000</f>
        <v>114.80371818287387</v>
      </c>
      <c r="AK35" s="9">
        <f>AD35/R34*100000</f>
        <v>172.88781674089262</v>
      </c>
      <c r="AL35" s="9">
        <f>AE35/S34*100000</f>
        <v>268.61882344785766</v>
      </c>
      <c r="AM35" s="3">
        <f t="shared" ref="AM35" si="35">1-AJ35/AL35</f>
        <v>0.57261476798494448</v>
      </c>
      <c r="AN35" s="3">
        <f t="shared" ref="AN35" si="36">1-AK35/AL35</f>
        <v>0.35638234684453396</v>
      </c>
      <c r="AO35" s="3"/>
      <c r="AP35">
        <f>SUM(AP4:AP34)</f>
        <v>90</v>
      </c>
      <c r="AQ35">
        <f t="shared" ref="AQ35" si="37">SUM(AQ4:AQ34)</f>
        <v>323</v>
      </c>
      <c r="AR35">
        <f t="shared" ref="AR35" si="38">SUM(AR4:AR34)</f>
        <v>411</v>
      </c>
      <c r="AV35" s="9">
        <f>AP35/Q34*100000</f>
        <v>7.4980657739177401</v>
      </c>
      <c r="AW35" s="9">
        <f>AQ35/R34*100000</f>
        <v>7.2636270561014982</v>
      </c>
      <c r="AX35" s="9">
        <f>AR35/S34*100000</f>
        <v>11.88527682603827</v>
      </c>
      <c r="AY35" s="3">
        <f t="shared" ref="AY35" si="39">1-AV35/AX35</f>
        <v>0.36912990049243333</v>
      </c>
      <c r="AZ35" s="3">
        <f t="shared" ref="AZ35" si="40">1-AW35/AX35</f>
        <v>0.38885503784073916</v>
      </c>
    </row>
    <row r="36" spans="1:52" x14ac:dyDescent="0.25">
      <c r="B36" t="s">
        <v>57</v>
      </c>
      <c r="J36" t="s">
        <v>57</v>
      </c>
    </row>
    <row r="37" spans="1:52" x14ac:dyDescent="0.25">
      <c r="A37" t="s">
        <v>25</v>
      </c>
      <c r="B37" t="s">
        <v>73</v>
      </c>
      <c r="C37">
        <v>5</v>
      </c>
      <c r="D37">
        <v>8</v>
      </c>
      <c r="E37">
        <v>14</v>
      </c>
      <c r="F37">
        <v>0.5</v>
      </c>
      <c r="G37">
        <v>2.2000000000000002</v>
      </c>
      <c r="H37">
        <v>9.3000000000000007</v>
      </c>
      <c r="I37" s="2" t="s">
        <v>25</v>
      </c>
      <c r="J37" t="s">
        <v>73</v>
      </c>
      <c r="K37">
        <v>123</v>
      </c>
      <c r="L37">
        <v>232</v>
      </c>
      <c r="M37">
        <v>136</v>
      </c>
      <c r="N37">
        <v>11.8</v>
      </c>
      <c r="O37">
        <v>65.099999999999994</v>
      </c>
      <c r="P37">
        <v>90.5</v>
      </c>
      <c r="Q37" s="1">
        <f t="shared" ref="Q37:S38" si="41">K37*100000/N37</f>
        <v>1042372.8813559321</v>
      </c>
      <c r="R37" s="1">
        <f t="shared" si="41"/>
        <v>356374.80798771122</v>
      </c>
      <c r="S37" s="1">
        <f t="shared" si="41"/>
        <v>150276.24309392265</v>
      </c>
      <c r="T37" s="1">
        <f t="shared" ref="T37:T66" si="42">SUM(Q37:S37)</f>
        <v>1549023.9324375661</v>
      </c>
      <c r="U37" s="9">
        <f t="shared" si="3"/>
        <v>0.47967479674796748</v>
      </c>
      <c r="V37" s="9">
        <f t="shared" si="4"/>
        <v>2.2448275862068967</v>
      </c>
      <c r="W37" s="9">
        <f t="shared" si="5"/>
        <v>9.3161764705882355</v>
      </c>
      <c r="AA37" t="s">
        <v>25</v>
      </c>
      <c r="AB37" t="s">
        <v>1</v>
      </c>
      <c r="AC37">
        <v>61</v>
      </c>
      <c r="AD37">
        <v>174</v>
      </c>
      <c r="AE37">
        <v>225</v>
      </c>
      <c r="AG37">
        <v>5.9</v>
      </c>
      <c r="AH37">
        <v>48.8</v>
      </c>
      <c r="AI37">
        <v>149.69999999999999</v>
      </c>
      <c r="AJ37" s="9">
        <f>AC37/Q37*100000</f>
        <v>5.8520325203252037</v>
      </c>
      <c r="AK37" s="9">
        <f t="shared" ref="AK37:AK66" si="43">AD37/R37*100000</f>
        <v>48.824999999999996</v>
      </c>
      <c r="AL37" s="9">
        <f t="shared" ref="AL37:AL66" si="44">AE37/S37*100000</f>
        <v>149.72426470588235</v>
      </c>
      <c r="AM37" s="3">
        <f t="shared" ref="AM37:AM66" si="45">1-AJ37/AL37</f>
        <v>0.96091460170586973</v>
      </c>
      <c r="AN37" s="3">
        <f t="shared" ref="AN37:AN66" si="46">1-AK37/AL37</f>
        <v>0.67390055248618785</v>
      </c>
      <c r="AO37" s="3"/>
      <c r="AP37">
        <v>1</v>
      </c>
      <c r="AQ37">
        <v>6</v>
      </c>
      <c r="AR37">
        <v>11</v>
      </c>
      <c r="AS37">
        <v>0.1</v>
      </c>
      <c r="AT37">
        <v>1.7</v>
      </c>
      <c r="AU37">
        <v>7.3</v>
      </c>
      <c r="AV37" s="9">
        <f t="shared" ref="AV37:AV66" si="47">AP37/Q37*100000</f>
        <v>9.5934959349593507E-2</v>
      </c>
      <c r="AW37" s="9">
        <f t="shared" ref="AW37:AW66" si="48">AQ37/R37*100000</f>
        <v>1.6836206896551722</v>
      </c>
      <c r="AX37" s="9">
        <f t="shared" ref="AX37:AX66" si="49">AR37/S37*100000</f>
        <v>7.319852941176471</v>
      </c>
      <c r="AY37" s="3">
        <f t="shared" ref="AY37:AY66" si="50">1-AV37/AX37</f>
        <v>0.98689386793415901</v>
      </c>
      <c r="AZ37" s="3">
        <f t="shared" ref="AZ37:AZ66" si="51">1-AW37/AX37</f>
        <v>0.76999255269401967</v>
      </c>
    </row>
    <row r="38" spans="1:52" x14ac:dyDescent="0.25">
      <c r="A38" t="s">
        <v>26</v>
      </c>
      <c r="B38" t="s">
        <v>73</v>
      </c>
      <c r="C38">
        <v>5</v>
      </c>
      <c r="D38">
        <v>7</v>
      </c>
      <c r="E38">
        <v>12</v>
      </c>
      <c r="F38">
        <v>0.5</v>
      </c>
      <c r="G38">
        <v>2</v>
      </c>
      <c r="H38">
        <v>8</v>
      </c>
      <c r="I38" s="2" t="s">
        <v>26</v>
      </c>
      <c r="J38" t="s">
        <v>73</v>
      </c>
      <c r="K38">
        <v>130</v>
      </c>
      <c r="L38">
        <v>189</v>
      </c>
      <c r="M38">
        <v>100</v>
      </c>
      <c r="N38">
        <v>12.4</v>
      </c>
      <c r="O38">
        <v>54.5</v>
      </c>
      <c r="P38">
        <v>66.900000000000006</v>
      </c>
      <c r="Q38" s="1">
        <f t="shared" si="41"/>
        <v>1048387.0967741936</v>
      </c>
      <c r="R38" s="1">
        <f t="shared" si="41"/>
        <v>346788.99082568806</v>
      </c>
      <c r="S38" s="1">
        <f t="shared" si="41"/>
        <v>149476.83109118085</v>
      </c>
      <c r="T38" s="1">
        <f t="shared" si="42"/>
        <v>1544652.9186910626</v>
      </c>
      <c r="U38" s="9">
        <f t="shared" si="3"/>
        <v>0.47692307692307689</v>
      </c>
      <c r="V38" s="9">
        <f t="shared" si="4"/>
        <v>2.0185185185185186</v>
      </c>
      <c r="W38" s="9">
        <f t="shared" si="5"/>
        <v>8.0280000000000005</v>
      </c>
      <c r="AA38" t="s">
        <v>26</v>
      </c>
      <c r="AB38" t="s">
        <v>1</v>
      </c>
      <c r="AC38">
        <v>55</v>
      </c>
      <c r="AD38">
        <v>166</v>
      </c>
      <c r="AE38">
        <v>224</v>
      </c>
      <c r="AG38">
        <v>5.2</v>
      </c>
      <c r="AH38">
        <v>47.9</v>
      </c>
      <c r="AI38">
        <v>149.9</v>
      </c>
      <c r="AJ38" s="9">
        <f t="shared" ref="AJ38:AJ66" si="52">AC38/Q38*100000</f>
        <v>5.2461538461538462</v>
      </c>
      <c r="AK38" s="9">
        <f t="shared" si="43"/>
        <v>47.867724867724874</v>
      </c>
      <c r="AL38" s="9">
        <f t="shared" si="44"/>
        <v>149.85600000000002</v>
      </c>
      <c r="AM38" s="3">
        <f t="shared" si="45"/>
        <v>0.96499203337768358</v>
      </c>
      <c r="AN38" s="3">
        <f t="shared" si="46"/>
        <v>0.68057518639410586</v>
      </c>
      <c r="AO38" s="3"/>
      <c r="AP38">
        <v>5</v>
      </c>
      <c r="AQ38">
        <v>4</v>
      </c>
      <c r="AR38">
        <v>9</v>
      </c>
      <c r="AS38">
        <v>0.5</v>
      </c>
      <c r="AT38">
        <v>1.2</v>
      </c>
      <c r="AU38">
        <v>6</v>
      </c>
      <c r="AV38" s="9">
        <f t="shared" si="47"/>
        <v>0.47692307692307689</v>
      </c>
      <c r="AW38" s="9">
        <f t="shared" si="48"/>
        <v>1.1534391534391535</v>
      </c>
      <c r="AX38" s="9">
        <f t="shared" si="49"/>
        <v>6.0210000000000008</v>
      </c>
      <c r="AY38" s="3">
        <f t="shared" si="50"/>
        <v>0.92079005531920333</v>
      </c>
      <c r="AZ38" s="3">
        <f t="shared" si="51"/>
        <v>0.80843063387491232</v>
      </c>
    </row>
    <row r="39" spans="1:52" x14ac:dyDescent="0.25">
      <c r="A39" t="s">
        <v>27</v>
      </c>
      <c r="B39" t="s">
        <v>73</v>
      </c>
      <c r="C39">
        <v>4</v>
      </c>
      <c r="D39">
        <v>9</v>
      </c>
      <c r="E39">
        <v>12</v>
      </c>
      <c r="F39">
        <v>0.4</v>
      </c>
      <c r="G39">
        <v>2.6</v>
      </c>
      <c r="H39">
        <v>8</v>
      </c>
      <c r="I39" s="2" t="s">
        <v>27</v>
      </c>
      <c r="J39" t="s">
        <v>73</v>
      </c>
      <c r="K39">
        <v>115</v>
      </c>
      <c r="L39">
        <v>210</v>
      </c>
      <c r="M39">
        <v>119</v>
      </c>
      <c r="N39">
        <v>10.9</v>
      </c>
      <c r="O39">
        <v>61.3</v>
      </c>
      <c r="P39">
        <v>79.8</v>
      </c>
      <c r="Q39" s="1">
        <f>K39*100000/(N39+0.0000000001)</f>
        <v>1055045.8715499537</v>
      </c>
      <c r="R39" s="1">
        <f>L39*100000/(O39+0.0000000001)</f>
        <v>342577.48776453087</v>
      </c>
      <c r="S39" s="1">
        <f>M39*100000/(P39+0.0000000001)</f>
        <v>149122.807017357</v>
      </c>
      <c r="T39" s="1">
        <f t="shared" si="42"/>
        <v>1546746.1663318416</v>
      </c>
      <c r="U39" s="9">
        <f t="shared" si="3"/>
        <v>0.37913043478608693</v>
      </c>
      <c r="V39" s="9">
        <f t="shared" si="4"/>
        <v>2.6271428571471427</v>
      </c>
      <c r="W39" s="9">
        <f t="shared" si="5"/>
        <v>8.047058823539496</v>
      </c>
      <c r="AA39" t="s">
        <v>27</v>
      </c>
      <c r="AB39" t="s">
        <v>1</v>
      </c>
      <c r="AC39">
        <v>55</v>
      </c>
      <c r="AD39">
        <v>164</v>
      </c>
      <c r="AE39">
        <v>213</v>
      </c>
      <c r="AG39">
        <v>5.2</v>
      </c>
      <c r="AH39">
        <v>47.9</v>
      </c>
      <c r="AI39">
        <v>142.9</v>
      </c>
      <c r="AJ39" s="9">
        <f t="shared" si="52"/>
        <v>5.2130434783086956</v>
      </c>
      <c r="AK39" s="9">
        <f t="shared" si="43"/>
        <v>47.872380952459046</v>
      </c>
      <c r="AL39" s="9">
        <f t="shared" si="44"/>
        <v>142.83529411782604</v>
      </c>
      <c r="AM39" s="3">
        <f t="shared" si="45"/>
        <v>0.96350311377516817</v>
      </c>
      <c r="AN39" s="3">
        <f t="shared" si="46"/>
        <v>0.66484207388568328</v>
      </c>
      <c r="AO39" s="3"/>
      <c r="AP39">
        <v>2</v>
      </c>
      <c r="AQ39">
        <v>7</v>
      </c>
      <c r="AR39">
        <v>8</v>
      </c>
      <c r="AS39">
        <v>0.2</v>
      </c>
      <c r="AT39">
        <v>2</v>
      </c>
      <c r="AU39">
        <v>5.4</v>
      </c>
      <c r="AV39" s="9">
        <f t="shared" si="47"/>
        <v>0.18956521739304347</v>
      </c>
      <c r="AW39" s="9">
        <f t="shared" si="48"/>
        <v>2.0433333333366663</v>
      </c>
      <c r="AX39" s="9">
        <f t="shared" si="49"/>
        <v>5.3647058823596634</v>
      </c>
      <c r="AY39" s="3">
        <f t="shared" si="50"/>
        <v>0.96466437833686736</v>
      </c>
      <c r="AZ39" s="3">
        <f t="shared" si="51"/>
        <v>0.61911549707587943</v>
      </c>
    </row>
    <row r="40" spans="1:52" x14ac:dyDescent="0.25">
      <c r="A40" t="s">
        <v>28</v>
      </c>
      <c r="B40" t="s">
        <v>73</v>
      </c>
      <c r="C40">
        <v>3</v>
      </c>
      <c r="D40">
        <v>11</v>
      </c>
      <c r="E40">
        <v>14</v>
      </c>
      <c r="F40">
        <v>0.3</v>
      </c>
      <c r="G40">
        <v>3.2</v>
      </c>
      <c r="H40">
        <v>9.4</v>
      </c>
      <c r="I40" s="2" t="s">
        <v>28</v>
      </c>
      <c r="J40" t="s">
        <v>73</v>
      </c>
      <c r="K40">
        <v>53</v>
      </c>
      <c r="L40">
        <v>96</v>
      </c>
      <c r="M40">
        <v>62</v>
      </c>
      <c r="N40">
        <v>5</v>
      </c>
      <c r="O40">
        <v>28.2</v>
      </c>
      <c r="P40">
        <v>41.7</v>
      </c>
      <c r="Q40" s="1">
        <f>K40*100000/N40</f>
        <v>1060000</v>
      </c>
      <c r="R40" s="1">
        <f>L40*100000/O40</f>
        <v>340425.53191489365</v>
      </c>
      <c r="S40" s="1">
        <f>M40*100000/P40</f>
        <v>148681.05515587528</v>
      </c>
      <c r="T40" s="1">
        <f t="shared" si="42"/>
        <v>1549106.5870707687</v>
      </c>
      <c r="U40" s="9">
        <f t="shared" si="3"/>
        <v>0.28301886792452829</v>
      </c>
      <c r="V40" s="9">
        <f t="shared" si="4"/>
        <v>3.2312499999999997</v>
      </c>
      <c r="W40" s="9">
        <f t="shared" si="5"/>
        <v>9.4161290322580662</v>
      </c>
      <c r="AA40" t="s">
        <v>28</v>
      </c>
      <c r="AB40" t="s">
        <v>1</v>
      </c>
      <c r="AC40">
        <v>56</v>
      </c>
      <c r="AD40">
        <v>162</v>
      </c>
      <c r="AE40">
        <v>218</v>
      </c>
      <c r="AG40">
        <v>5.3</v>
      </c>
      <c r="AH40">
        <v>47.6</v>
      </c>
      <c r="AI40">
        <v>146.5</v>
      </c>
      <c r="AJ40" s="9">
        <f t="shared" si="52"/>
        <v>5.283018867924528</v>
      </c>
      <c r="AK40" s="9">
        <f t="shared" si="43"/>
        <v>47.587499999999999</v>
      </c>
      <c r="AL40" s="9">
        <f t="shared" si="44"/>
        <v>146.62258064516132</v>
      </c>
      <c r="AM40" s="3">
        <f t="shared" si="45"/>
        <v>0.96396858625268733</v>
      </c>
      <c r="AN40" s="3">
        <f t="shared" si="46"/>
        <v>0.67544221503531121</v>
      </c>
      <c r="AO40" s="3"/>
      <c r="AP40">
        <v>4</v>
      </c>
      <c r="AQ40">
        <v>5</v>
      </c>
      <c r="AR40">
        <v>4</v>
      </c>
      <c r="AS40">
        <v>0.4</v>
      </c>
      <c r="AT40">
        <v>1.5</v>
      </c>
      <c r="AU40">
        <v>2.7</v>
      </c>
      <c r="AV40" s="9">
        <f t="shared" si="47"/>
        <v>0.37735849056603771</v>
      </c>
      <c r="AW40" s="9">
        <f t="shared" si="48"/>
        <v>1.4687499999999998</v>
      </c>
      <c r="AX40" s="9">
        <f t="shared" si="49"/>
        <v>2.6903225806451618</v>
      </c>
      <c r="AY40" s="3">
        <f t="shared" si="50"/>
        <v>0.85973485362653279</v>
      </c>
      <c r="AZ40" s="3">
        <f t="shared" si="51"/>
        <v>0.45406175059952059</v>
      </c>
    </row>
    <row r="41" spans="1:52" x14ac:dyDescent="0.25">
      <c r="A41" t="s">
        <v>29</v>
      </c>
      <c r="B41" t="s">
        <v>73</v>
      </c>
      <c r="C41">
        <v>0</v>
      </c>
      <c r="D41">
        <v>9</v>
      </c>
      <c r="E41">
        <v>8</v>
      </c>
      <c r="F41">
        <v>0</v>
      </c>
      <c r="G41">
        <v>2.7</v>
      </c>
      <c r="H41">
        <v>5.4</v>
      </c>
      <c r="I41" s="2" t="s">
        <v>29</v>
      </c>
      <c r="J41" t="s">
        <v>73</v>
      </c>
      <c r="K41">
        <v>69</v>
      </c>
      <c r="L41">
        <v>109</v>
      </c>
      <c r="M41">
        <v>69</v>
      </c>
      <c r="N41">
        <v>6.5</v>
      </c>
      <c r="O41">
        <v>32.799999999999997</v>
      </c>
      <c r="P41">
        <v>46.6</v>
      </c>
      <c r="Q41" s="1">
        <f t="shared" ref="Q41:S42" si="53">K41*100000/(N41+0.0000000001)</f>
        <v>1061538.4615221301</v>
      </c>
      <c r="R41" s="1">
        <f t="shared" si="53"/>
        <v>332317.07316971855</v>
      </c>
      <c r="S41" s="1">
        <f t="shared" si="53"/>
        <v>148068.66952757924</v>
      </c>
      <c r="T41" s="1">
        <f t="shared" si="42"/>
        <v>1541924.2042194279</v>
      </c>
      <c r="U41" s="9">
        <f t="shared" si="3"/>
        <v>0</v>
      </c>
      <c r="V41" s="9">
        <f t="shared" si="4"/>
        <v>2.7082568807422018</v>
      </c>
      <c r="W41" s="9">
        <f t="shared" si="5"/>
        <v>5.4028985507362322</v>
      </c>
      <c r="AA41" t="s">
        <v>29</v>
      </c>
      <c r="AB41" t="s">
        <v>1</v>
      </c>
      <c r="AC41">
        <v>63</v>
      </c>
      <c r="AD41">
        <v>151</v>
      </c>
      <c r="AE41">
        <v>233</v>
      </c>
      <c r="AG41">
        <v>5.9</v>
      </c>
      <c r="AH41">
        <v>45.4</v>
      </c>
      <c r="AI41">
        <v>157.30000000000001</v>
      </c>
      <c r="AJ41" s="9">
        <f t="shared" si="52"/>
        <v>5.9347826087869571</v>
      </c>
      <c r="AK41" s="9">
        <f t="shared" si="43"/>
        <v>45.438532110230277</v>
      </c>
      <c r="AL41" s="9">
        <f t="shared" si="44"/>
        <v>157.35942029019276</v>
      </c>
      <c r="AM41" s="3">
        <f t="shared" si="45"/>
        <v>0.96228517747560083</v>
      </c>
      <c r="AN41" s="3">
        <f t="shared" si="46"/>
        <v>0.71124364828978603</v>
      </c>
      <c r="AO41" s="3"/>
      <c r="AP41">
        <v>4</v>
      </c>
      <c r="AQ41">
        <v>3</v>
      </c>
      <c r="AR41">
        <v>6</v>
      </c>
      <c r="AS41">
        <v>0.4</v>
      </c>
      <c r="AT41">
        <v>0.9</v>
      </c>
      <c r="AU41">
        <v>4.0999999999999996</v>
      </c>
      <c r="AV41" s="9">
        <f t="shared" si="47"/>
        <v>0.3768115942086957</v>
      </c>
      <c r="AW41" s="9">
        <f t="shared" si="48"/>
        <v>0.90275229358073394</v>
      </c>
      <c r="AX41" s="9">
        <f t="shared" si="49"/>
        <v>4.0521739130521741</v>
      </c>
      <c r="AY41" s="3">
        <f t="shared" si="50"/>
        <v>0.90701001430492056</v>
      </c>
      <c r="AZ41" s="3">
        <f t="shared" si="51"/>
        <v>0.77721778162755017</v>
      </c>
    </row>
    <row r="42" spans="1:52" x14ac:dyDescent="0.25">
      <c r="A42" t="s">
        <v>30</v>
      </c>
      <c r="B42" t="s">
        <v>73</v>
      </c>
      <c r="C42">
        <v>3</v>
      </c>
      <c r="D42">
        <v>7</v>
      </c>
      <c r="E42">
        <v>4</v>
      </c>
      <c r="F42">
        <v>0.3</v>
      </c>
      <c r="G42">
        <v>2.2000000000000002</v>
      </c>
      <c r="H42">
        <v>2.7</v>
      </c>
      <c r="I42" s="2" t="s">
        <v>30</v>
      </c>
      <c r="J42" t="s">
        <v>73</v>
      </c>
      <c r="K42">
        <v>111</v>
      </c>
      <c r="L42">
        <v>170</v>
      </c>
      <c r="M42">
        <v>129</v>
      </c>
      <c r="N42">
        <v>10.3</v>
      </c>
      <c r="O42">
        <v>52.3</v>
      </c>
      <c r="P42">
        <v>87.3</v>
      </c>
      <c r="Q42" s="1">
        <f t="shared" si="53"/>
        <v>1077669.9029021584</v>
      </c>
      <c r="R42" s="1">
        <f t="shared" si="53"/>
        <v>325047.80114660604</v>
      </c>
      <c r="S42" s="1">
        <f t="shared" si="53"/>
        <v>147766.32302388572</v>
      </c>
      <c r="T42" s="1">
        <f t="shared" si="42"/>
        <v>1550484.0270726501</v>
      </c>
      <c r="U42" s="9">
        <f t="shared" si="3"/>
        <v>0.27837837838108109</v>
      </c>
      <c r="V42" s="9">
        <f t="shared" si="4"/>
        <v>2.1535294117688237</v>
      </c>
      <c r="W42" s="9">
        <f t="shared" si="5"/>
        <v>2.7069767441891472</v>
      </c>
      <c r="AA42" t="s">
        <v>30</v>
      </c>
      <c r="AB42" t="s">
        <v>1</v>
      </c>
      <c r="AC42">
        <v>55</v>
      </c>
      <c r="AD42">
        <v>134</v>
      </c>
      <c r="AE42">
        <v>221</v>
      </c>
      <c r="AG42">
        <v>5.0999999999999996</v>
      </c>
      <c r="AH42">
        <v>41.3</v>
      </c>
      <c r="AI42">
        <v>149.6</v>
      </c>
      <c r="AJ42" s="9">
        <f t="shared" si="52"/>
        <v>5.1036036036531538</v>
      </c>
      <c r="AK42" s="9">
        <f t="shared" si="43"/>
        <v>41.224705882431763</v>
      </c>
      <c r="AL42" s="9">
        <f t="shared" si="44"/>
        <v>149.56046511645039</v>
      </c>
      <c r="AM42" s="3">
        <f t="shared" si="45"/>
        <v>0.96587598467496472</v>
      </c>
      <c r="AN42" s="3">
        <f t="shared" si="46"/>
        <v>0.72436094090551606</v>
      </c>
      <c r="AO42" s="3"/>
      <c r="AP42">
        <v>2</v>
      </c>
      <c r="AQ42">
        <v>4</v>
      </c>
      <c r="AR42">
        <v>9</v>
      </c>
      <c r="AS42">
        <v>0.2</v>
      </c>
      <c r="AT42">
        <v>1.2</v>
      </c>
      <c r="AU42">
        <v>6.1</v>
      </c>
      <c r="AV42" s="9">
        <f t="shared" si="47"/>
        <v>0.18558558558738741</v>
      </c>
      <c r="AW42" s="9">
        <f t="shared" si="48"/>
        <v>1.2305882352964705</v>
      </c>
      <c r="AX42" s="9">
        <f t="shared" si="49"/>
        <v>6.0906976744255807</v>
      </c>
      <c r="AY42" s="3">
        <f t="shared" si="50"/>
        <v>0.96952966712390787</v>
      </c>
      <c r="AZ42" s="3">
        <f t="shared" si="51"/>
        <v>0.79795611257087584</v>
      </c>
    </row>
    <row r="43" spans="1:52" x14ac:dyDescent="0.25">
      <c r="A43" t="s">
        <v>31</v>
      </c>
      <c r="B43" t="s">
        <v>73</v>
      </c>
      <c r="C43">
        <v>0</v>
      </c>
      <c r="D43">
        <v>14</v>
      </c>
      <c r="E43">
        <v>12</v>
      </c>
      <c r="F43">
        <v>0</v>
      </c>
      <c r="G43">
        <v>4.4000000000000004</v>
      </c>
      <c r="H43">
        <v>8.1</v>
      </c>
      <c r="I43" s="2" t="s">
        <v>31</v>
      </c>
      <c r="J43" t="s">
        <v>73</v>
      </c>
      <c r="K43">
        <v>70</v>
      </c>
      <c r="L43">
        <v>112</v>
      </c>
      <c r="M43">
        <v>77</v>
      </c>
      <c r="N43">
        <v>6.5</v>
      </c>
      <c r="O43">
        <v>35.299999999999997</v>
      </c>
      <c r="P43">
        <v>52.2</v>
      </c>
      <c r="Q43" s="1">
        <f>K43*100000/N43</f>
        <v>1076923.076923077</v>
      </c>
      <c r="R43" s="1">
        <f>L43*100000/O43</f>
        <v>317280.45325779042</v>
      </c>
      <c r="S43" s="1">
        <f>M43*100000/P43</f>
        <v>147509.57854406128</v>
      </c>
      <c r="T43" s="1">
        <f t="shared" si="42"/>
        <v>1541713.1087249285</v>
      </c>
      <c r="U43" s="9">
        <f t="shared" si="3"/>
        <v>0</v>
      </c>
      <c r="V43" s="9">
        <f t="shared" si="4"/>
        <v>4.4124999999999996</v>
      </c>
      <c r="W43" s="9">
        <f t="shared" si="5"/>
        <v>8.1350649350649373</v>
      </c>
      <c r="AA43" t="s">
        <v>31</v>
      </c>
      <c r="AB43" t="s">
        <v>1</v>
      </c>
      <c r="AC43">
        <v>58</v>
      </c>
      <c r="AD43">
        <v>125</v>
      </c>
      <c r="AE43">
        <v>224</v>
      </c>
      <c r="AG43">
        <v>5.4</v>
      </c>
      <c r="AH43">
        <v>39.4</v>
      </c>
      <c r="AI43">
        <v>151.9</v>
      </c>
      <c r="AJ43" s="9">
        <f t="shared" si="52"/>
        <v>5.3857142857142852</v>
      </c>
      <c r="AK43" s="9">
        <f t="shared" si="43"/>
        <v>39.397321428571423</v>
      </c>
      <c r="AL43" s="9">
        <f t="shared" si="44"/>
        <v>151.85454545454547</v>
      </c>
      <c r="AM43" s="3">
        <f t="shared" si="45"/>
        <v>0.96453373015873012</v>
      </c>
      <c r="AN43" s="3">
        <f t="shared" si="46"/>
        <v>0.740558826799398</v>
      </c>
      <c r="AO43" s="3"/>
      <c r="AP43">
        <v>5</v>
      </c>
      <c r="AQ43">
        <v>3</v>
      </c>
      <c r="AR43">
        <v>17</v>
      </c>
      <c r="AS43">
        <v>0.5</v>
      </c>
      <c r="AT43">
        <v>0.9</v>
      </c>
      <c r="AU43">
        <v>11.5</v>
      </c>
      <c r="AV43" s="9">
        <f t="shared" si="47"/>
        <v>0.4642857142857143</v>
      </c>
      <c r="AW43" s="9">
        <f t="shared" si="48"/>
        <v>0.94553571428571415</v>
      </c>
      <c r="AX43" s="9">
        <f t="shared" si="49"/>
        <v>11.524675324675327</v>
      </c>
      <c r="AY43" s="3">
        <f t="shared" si="50"/>
        <v>0.95971377056569751</v>
      </c>
      <c r="AZ43" s="3">
        <f t="shared" si="51"/>
        <v>0.91795554428668025</v>
      </c>
    </row>
    <row r="44" spans="1:52" x14ac:dyDescent="0.25">
      <c r="A44" t="s">
        <v>32</v>
      </c>
      <c r="B44" t="s">
        <v>73</v>
      </c>
      <c r="C44">
        <v>2</v>
      </c>
      <c r="D44">
        <v>3</v>
      </c>
      <c r="E44">
        <v>5</v>
      </c>
      <c r="F44">
        <v>0.2</v>
      </c>
      <c r="G44">
        <v>1</v>
      </c>
      <c r="H44">
        <v>3.4</v>
      </c>
      <c r="I44" s="2" t="s">
        <v>32</v>
      </c>
      <c r="J44" t="s">
        <v>73</v>
      </c>
      <c r="K44">
        <v>24</v>
      </c>
      <c r="L44">
        <v>42</v>
      </c>
      <c r="M44">
        <v>32</v>
      </c>
      <c r="N44">
        <v>2.2000000000000002</v>
      </c>
      <c r="O44">
        <v>13.5</v>
      </c>
      <c r="P44">
        <v>21.7</v>
      </c>
      <c r="Q44" s="1">
        <f>K44*100000/(N44+0.0000000001)</f>
        <v>1090909.090859504</v>
      </c>
      <c r="R44" s="1">
        <f>L44*100000/(O44+0.0000000001)</f>
        <v>311111.11110880657</v>
      </c>
      <c r="S44" s="1">
        <f>M44*100000/(P44+0.0000000001)</f>
        <v>147465.43778733889</v>
      </c>
      <c r="T44" s="1">
        <f t="shared" si="42"/>
        <v>1549485.6397556493</v>
      </c>
      <c r="U44" s="9">
        <f t="shared" si="3"/>
        <v>0.18333333334166668</v>
      </c>
      <c r="V44" s="9">
        <f t="shared" si="4"/>
        <v>0.96428571429285725</v>
      </c>
      <c r="W44" s="9">
        <f t="shared" si="5"/>
        <v>3.3906250000156248</v>
      </c>
      <c r="AA44" t="s">
        <v>32</v>
      </c>
      <c r="AB44" t="s">
        <v>1</v>
      </c>
      <c r="AC44">
        <v>55</v>
      </c>
      <c r="AD44">
        <v>128</v>
      </c>
      <c r="AE44">
        <v>227</v>
      </c>
      <c r="AG44">
        <v>5</v>
      </c>
      <c r="AH44">
        <v>41.1</v>
      </c>
      <c r="AI44">
        <v>154.1</v>
      </c>
      <c r="AJ44" s="9">
        <f t="shared" si="52"/>
        <v>5.0416666668958339</v>
      </c>
      <c r="AK44" s="9">
        <f t="shared" si="43"/>
        <v>41.142857143161905</v>
      </c>
      <c r="AL44" s="9">
        <f t="shared" si="44"/>
        <v>153.93437500070937</v>
      </c>
      <c r="AM44" s="3">
        <f t="shared" si="45"/>
        <v>0.96724794792019264</v>
      </c>
      <c r="AN44" s="3">
        <f t="shared" si="46"/>
        <v>0.73272469425381881</v>
      </c>
      <c r="AO44" s="3"/>
      <c r="AP44">
        <v>2</v>
      </c>
      <c r="AQ44">
        <v>2</v>
      </c>
      <c r="AR44">
        <v>8</v>
      </c>
      <c r="AS44">
        <v>0.2</v>
      </c>
      <c r="AT44">
        <v>0.6</v>
      </c>
      <c r="AU44">
        <v>5.4</v>
      </c>
      <c r="AV44" s="9">
        <f t="shared" si="47"/>
        <v>0.18333333334166668</v>
      </c>
      <c r="AW44" s="9">
        <f t="shared" si="48"/>
        <v>0.64285714286190476</v>
      </c>
      <c r="AX44" s="9">
        <f t="shared" si="49"/>
        <v>5.4250000000249994</v>
      </c>
      <c r="AY44" s="3">
        <f t="shared" si="50"/>
        <v>0.96620583717219877</v>
      </c>
      <c r="AZ44" s="3">
        <f t="shared" si="51"/>
        <v>0.88150098749143924</v>
      </c>
    </row>
    <row r="45" spans="1:52" x14ac:dyDescent="0.25">
      <c r="A45" t="s">
        <v>0</v>
      </c>
      <c r="B45" t="s">
        <v>73</v>
      </c>
      <c r="C45">
        <v>0</v>
      </c>
      <c r="D45">
        <v>8</v>
      </c>
      <c r="E45">
        <v>6</v>
      </c>
      <c r="F45">
        <v>0</v>
      </c>
      <c r="G45">
        <v>0.7</v>
      </c>
      <c r="H45">
        <v>3.5</v>
      </c>
      <c r="I45" s="2" t="s">
        <v>0</v>
      </c>
      <c r="J45" t="s">
        <v>73</v>
      </c>
      <c r="K45">
        <v>69</v>
      </c>
      <c r="L45">
        <v>652</v>
      </c>
      <c r="M45">
        <v>68</v>
      </c>
      <c r="N45">
        <v>38.200000000000003</v>
      </c>
      <c r="O45">
        <v>54.3</v>
      </c>
      <c r="P45">
        <v>40</v>
      </c>
      <c r="Q45" s="1">
        <f t="shared" ref="Q45:S52" si="54">K45*100000/N45</f>
        <v>180628.2722513089</v>
      </c>
      <c r="R45" s="1">
        <f t="shared" si="54"/>
        <v>1200736.6482504604</v>
      </c>
      <c r="S45" s="1">
        <f t="shared" si="54"/>
        <v>170000</v>
      </c>
      <c r="T45" s="1">
        <f t="shared" si="42"/>
        <v>1551364.9205017693</v>
      </c>
      <c r="U45" s="9">
        <f t="shared" si="3"/>
        <v>0</v>
      </c>
      <c r="V45" s="9">
        <f t="shared" si="4"/>
        <v>0.66625766871165648</v>
      </c>
      <c r="W45" s="9">
        <f t="shared" si="5"/>
        <v>3.5294117647058822</v>
      </c>
      <c r="AA45" t="s">
        <v>0</v>
      </c>
      <c r="AB45" t="s">
        <v>1</v>
      </c>
      <c r="AC45">
        <v>4</v>
      </c>
      <c r="AD45">
        <v>219</v>
      </c>
      <c r="AE45">
        <v>87</v>
      </c>
      <c r="AG45">
        <v>2.2000000000000002</v>
      </c>
      <c r="AH45">
        <v>18.2</v>
      </c>
      <c r="AI45">
        <v>51.1</v>
      </c>
      <c r="AJ45" s="9">
        <f t="shared" si="52"/>
        <v>2.2144927536231886</v>
      </c>
      <c r="AK45" s="9">
        <f t="shared" si="43"/>
        <v>18.238803680981594</v>
      </c>
      <c r="AL45" s="9">
        <f t="shared" si="44"/>
        <v>51.176470588235297</v>
      </c>
      <c r="AM45" s="3">
        <f t="shared" si="45"/>
        <v>0.95672830251540897</v>
      </c>
      <c r="AN45" s="3">
        <f t="shared" si="46"/>
        <v>0.64360958324518724</v>
      </c>
      <c r="AO45" s="3"/>
      <c r="AP45">
        <v>2</v>
      </c>
      <c r="AQ45">
        <v>14</v>
      </c>
      <c r="AR45">
        <v>2</v>
      </c>
      <c r="AS45">
        <v>1.1000000000000001</v>
      </c>
      <c r="AT45">
        <v>1.2</v>
      </c>
      <c r="AU45">
        <v>1.2</v>
      </c>
      <c r="AV45" s="9">
        <f t="shared" si="47"/>
        <v>1.1072463768115943</v>
      </c>
      <c r="AW45" s="9">
        <f t="shared" si="48"/>
        <v>1.1659509202453988</v>
      </c>
      <c r="AX45" s="9">
        <f t="shared" si="49"/>
        <v>1.1764705882352942</v>
      </c>
      <c r="AY45" s="3">
        <f t="shared" si="50"/>
        <v>5.8840579710144891E-2</v>
      </c>
      <c r="AZ45" s="3">
        <f t="shared" si="51"/>
        <v>8.9417177914110635E-3</v>
      </c>
    </row>
    <row r="46" spans="1:52" x14ac:dyDescent="0.25">
      <c r="A46" t="s">
        <v>4</v>
      </c>
      <c r="B46" t="s">
        <v>73</v>
      </c>
      <c r="C46">
        <v>0</v>
      </c>
      <c r="D46">
        <v>9</v>
      </c>
      <c r="E46">
        <v>4</v>
      </c>
      <c r="F46">
        <v>0</v>
      </c>
      <c r="G46">
        <v>0.8</v>
      </c>
      <c r="H46">
        <v>2.4</v>
      </c>
      <c r="I46" s="2" t="s">
        <v>4</v>
      </c>
      <c r="J46" t="s">
        <v>73</v>
      </c>
      <c r="K46">
        <v>96</v>
      </c>
      <c r="L46">
        <v>602</v>
      </c>
      <c r="M46">
        <v>84</v>
      </c>
      <c r="N46">
        <v>36.799999999999997</v>
      </c>
      <c r="O46">
        <v>53.7</v>
      </c>
      <c r="P46">
        <v>49.7</v>
      </c>
      <c r="Q46" s="1">
        <f t="shared" si="54"/>
        <v>260869.56521739133</v>
      </c>
      <c r="R46" s="1">
        <f t="shared" si="54"/>
        <v>1121042.8305400372</v>
      </c>
      <c r="S46" s="1">
        <f t="shared" si="54"/>
        <v>169014.08450704225</v>
      </c>
      <c r="T46" s="1">
        <f t="shared" si="42"/>
        <v>1550926.4802644709</v>
      </c>
      <c r="U46" s="9">
        <f t="shared" si="3"/>
        <v>0</v>
      </c>
      <c r="V46" s="9">
        <f t="shared" si="4"/>
        <v>0.80282392026578064</v>
      </c>
      <c r="W46" s="9">
        <f t="shared" si="5"/>
        <v>2.3666666666666667</v>
      </c>
      <c r="AA46" t="s">
        <v>4</v>
      </c>
      <c r="AB46" t="s">
        <v>1</v>
      </c>
      <c r="AC46">
        <v>6</v>
      </c>
      <c r="AD46">
        <v>215</v>
      </c>
      <c r="AE46">
        <v>92</v>
      </c>
      <c r="AG46">
        <v>2.2999999999999998</v>
      </c>
      <c r="AH46">
        <v>19.2</v>
      </c>
      <c r="AI46">
        <v>54.4</v>
      </c>
      <c r="AJ46" s="9">
        <f t="shared" si="52"/>
        <v>2.2999999999999998</v>
      </c>
      <c r="AK46" s="9">
        <f t="shared" si="43"/>
        <v>19.178571428571431</v>
      </c>
      <c r="AL46" s="9">
        <f t="shared" si="44"/>
        <v>54.43333333333333</v>
      </c>
      <c r="AM46" s="3">
        <f t="shared" si="45"/>
        <v>0.95774647887323949</v>
      </c>
      <c r="AN46" s="3">
        <f t="shared" si="46"/>
        <v>0.64766862041816109</v>
      </c>
      <c r="AO46" s="3"/>
      <c r="AP46">
        <v>0</v>
      </c>
      <c r="AQ46">
        <v>13</v>
      </c>
      <c r="AR46">
        <v>9</v>
      </c>
      <c r="AS46">
        <v>0</v>
      </c>
      <c r="AT46">
        <v>1.2</v>
      </c>
      <c r="AU46">
        <v>5.3</v>
      </c>
      <c r="AV46" s="9">
        <f t="shared" si="47"/>
        <v>0</v>
      </c>
      <c r="AW46" s="9">
        <f t="shared" si="48"/>
        <v>1.1596345514950166</v>
      </c>
      <c r="AX46" s="9">
        <f t="shared" si="49"/>
        <v>5.3250000000000002</v>
      </c>
      <c r="AY46" s="3">
        <f t="shared" si="50"/>
        <v>1</v>
      </c>
      <c r="AZ46" s="3">
        <f t="shared" si="51"/>
        <v>0.78222825324037248</v>
      </c>
    </row>
    <row r="47" spans="1:52" x14ac:dyDescent="0.25">
      <c r="A47" t="s">
        <v>5</v>
      </c>
      <c r="B47" t="s">
        <v>73</v>
      </c>
      <c r="C47">
        <v>1</v>
      </c>
      <c r="D47">
        <v>12</v>
      </c>
      <c r="E47">
        <v>6</v>
      </c>
      <c r="F47">
        <v>0.3</v>
      </c>
      <c r="G47">
        <v>1.2</v>
      </c>
      <c r="H47">
        <v>3.6</v>
      </c>
      <c r="I47" s="2" t="s">
        <v>5</v>
      </c>
      <c r="J47" t="s">
        <v>73</v>
      </c>
      <c r="K47">
        <v>138</v>
      </c>
      <c r="L47">
        <v>597</v>
      </c>
      <c r="M47">
        <v>94</v>
      </c>
      <c r="N47">
        <v>39.6</v>
      </c>
      <c r="O47">
        <v>57.7</v>
      </c>
      <c r="P47">
        <v>56</v>
      </c>
      <c r="Q47" s="1">
        <f t="shared" si="54"/>
        <v>348484.84848484845</v>
      </c>
      <c r="R47" s="1">
        <f t="shared" si="54"/>
        <v>1034662.0450606585</v>
      </c>
      <c r="S47" s="1">
        <f t="shared" si="54"/>
        <v>167857.14285714287</v>
      </c>
      <c r="T47" s="1">
        <f t="shared" si="42"/>
        <v>1551004.0364026499</v>
      </c>
      <c r="U47" s="9">
        <f t="shared" si="3"/>
        <v>0.28695652173913044</v>
      </c>
      <c r="V47" s="9">
        <f t="shared" si="4"/>
        <v>1.1597989949748744</v>
      </c>
      <c r="W47" s="9">
        <f t="shared" si="5"/>
        <v>3.5744680851063828</v>
      </c>
      <c r="AA47" t="s">
        <v>5</v>
      </c>
      <c r="AB47" t="s">
        <v>1</v>
      </c>
      <c r="AC47">
        <v>6</v>
      </c>
      <c r="AD47">
        <v>249</v>
      </c>
      <c r="AE47">
        <v>98</v>
      </c>
      <c r="AG47">
        <v>1.7</v>
      </c>
      <c r="AH47">
        <v>24.1</v>
      </c>
      <c r="AI47">
        <v>58.4</v>
      </c>
      <c r="AJ47" s="9">
        <f t="shared" si="52"/>
        <v>1.7217391304347829</v>
      </c>
      <c r="AK47" s="9">
        <f t="shared" si="43"/>
        <v>24.065829145728646</v>
      </c>
      <c r="AL47" s="9">
        <f t="shared" si="44"/>
        <v>58.38297872340425</v>
      </c>
      <c r="AM47" s="3">
        <f t="shared" si="45"/>
        <v>0.97050957028774243</v>
      </c>
      <c r="AN47" s="3">
        <f t="shared" si="46"/>
        <v>0.58779374276630958</v>
      </c>
      <c r="AO47" s="3"/>
      <c r="AP47">
        <v>0</v>
      </c>
      <c r="AQ47">
        <v>19</v>
      </c>
      <c r="AR47">
        <v>2</v>
      </c>
      <c r="AS47">
        <v>0</v>
      </c>
      <c r="AT47">
        <v>1.8</v>
      </c>
      <c r="AU47">
        <v>1.2</v>
      </c>
      <c r="AV47" s="9">
        <f t="shared" si="47"/>
        <v>0</v>
      </c>
      <c r="AW47" s="9">
        <f t="shared" si="48"/>
        <v>1.8363484087102182</v>
      </c>
      <c r="AX47" s="9">
        <f t="shared" si="49"/>
        <v>1.1914893617021276</v>
      </c>
      <c r="AY47" s="3">
        <f t="shared" si="50"/>
        <v>1</v>
      </c>
      <c r="AZ47" s="3">
        <f t="shared" si="51"/>
        <v>-0.54122098588179046</v>
      </c>
    </row>
    <row r="48" spans="1:52" x14ac:dyDescent="0.25">
      <c r="A48" t="s">
        <v>6</v>
      </c>
      <c r="B48" t="s">
        <v>73</v>
      </c>
      <c r="C48">
        <v>0</v>
      </c>
      <c r="D48">
        <v>14</v>
      </c>
      <c r="E48">
        <v>9</v>
      </c>
      <c r="F48">
        <v>0</v>
      </c>
      <c r="G48">
        <v>1.4</v>
      </c>
      <c r="H48">
        <v>5.4</v>
      </c>
      <c r="I48" s="2" t="s">
        <v>6</v>
      </c>
      <c r="J48" t="s">
        <v>73</v>
      </c>
      <c r="K48">
        <v>109</v>
      </c>
      <c r="L48">
        <v>503</v>
      </c>
      <c r="M48">
        <v>86</v>
      </c>
      <c r="N48">
        <v>27.8</v>
      </c>
      <c r="O48">
        <v>50.8</v>
      </c>
      <c r="P48">
        <v>51.4</v>
      </c>
      <c r="Q48" s="1">
        <f t="shared" si="54"/>
        <v>392086.33093525178</v>
      </c>
      <c r="R48" s="1">
        <f t="shared" si="54"/>
        <v>990157.4803149607</v>
      </c>
      <c r="S48" s="1">
        <f t="shared" si="54"/>
        <v>167315.17509727628</v>
      </c>
      <c r="T48" s="1">
        <f t="shared" si="42"/>
        <v>1549558.9863474888</v>
      </c>
      <c r="U48" s="9">
        <f t="shared" si="3"/>
        <v>0</v>
      </c>
      <c r="V48" s="9">
        <f t="shared" si="4"/>
        <v>1.4139165009940355</v>
      </c>
      <c r="W48" s="9">
        <f t="shared" si="5"/>
        <v>5.3790697674418606</v>
      </c>
      <c r="AA48" t="s">
        <v>6</v>
      </c>
      <c r="AB48" t="s">
        <v>1</v>
      </c>
      <c r="AC48">
        <v>11</v>
      </c>
      <c r="AD48">
        <v>248</v>
      </c>
      <c r="AE48">
        <v>110</v>
      </c>
      <c r="AG48">
        <v>2.8</v>
      </c>
      <c r="AH48">
        <v>25</v>
      </c>
      <c r="AI48">
        <v>65.8</v>
      </c>
      <c r="AJ48" s="9">
        <f t="shared" si="52"/>
        <v>2.8055045871559634</v>
      </c>
      <c r="AK48" s="9">
        <f t="shared" si="43"/>
        <v>25.04652087475149</v>
      </c>
      <c r="AL48" s="9">
        <f t="shared" si="44"/>
        <v>65.744186046511615</v>
      </c>
      <c r="AM48" s="3">
        <f t="shared" si="45"/>
        <v>0.95732695534216261</v>
      </c>
      <c r="AN48" s="3">
        <f t="shared" si="46"/>
        <v>0.61903063402394265</v>
      </c>
      <c r="AO48" s="3"/>
      <c r="AP48">
        <v>1</v>
      </c>
      <c r="AQ48">
        <v>12</v>
      </c>
      <c r="AR48">
        <v>5</v>
      </c>
      <c r="AS48">
        <v>0.3</v>
      </c>
      <c r="AT48">
        <v>1.2</v>
      </c>
      <c r="AU48">
        <v>3</v>
      </c>
      <c r="AV48" s="9">
        <f t="shared" si="47"/>
        <v>0.25504587155963304</v>
      </c>
      <c r="AW48" s="9">
        <f t="shared" si="48"/>
        <v>1.2119284294234591</v>
      </c>
      <c r="AX48" s="9">
        <f t="shared" si="49"/>
        <v>2.9883720930232558</v>
      </c>
      <c r="AY48" s="3">
        <f t="shared" si="50"/>
        <v>0.91465391068432511</v>
      </c>
      <c r="AZ48" s="3">
        <f t="shared" si="51"/>
        <v>0.59445196525129385</v>
      </c>
    </row>
    <row r="49" spans="1:52" x14ac:dyDescent="0.25">
      <c r="A49" t="s">
        <v>7</v>
      </c>
      <c r="B49" t="s">
        <v>73</v>
      </c>
      <c r="C49">
        <v>1</v>
      </c>
      <c r="D49">
        <v>7</v>
      </c>
      <c r="E49">
        <v>10</v>
      </c>
      <c r="F49">
        <v>0.2</v>
      </c>
      <c r="G49">
        <v>0.7</v>
      </c>
      <c r="H49">
        <v>6</v>
      </c>
      <c r="I49" s="2" t="s">
        <v>7</v>
      </c>
      <c r="J49" t="s">
        <v>73</v>
      </c>
      <c r="K49">
        <v>92</v>
      </c>
      <c r="L49">
        <v>339</v>
      </c>
      <c r="M49">
        <v>55</v>
      </c>
      <c r="N49">
        <v>21.9</v>
      </c>
      <c r="O49">
        <v>35.200000000000003</v>
      </c>
      <c r="P49">
        <v>33</v>
      </c>
      <c r="Q49" s="1">
        <f t="shared" si="54"/>
        <v>420091.32420091325</v>
      </c>
      <c r="R49" s="1">
        <f t="shared" si="54"/>
        <v>963068.18181818177</v>
      </c>
      <c r="S49" s="1">
        <f t="shared" si="54"/>
        <v>166666.66666666666</v>
      </c>
      <c r="T49" s="1">
        <f t="shared" si="42"/>
        <v>1549826.1726857617</v>
      </c>
      <c r="U49" s="9">
        <f t="shared" si="3"/>
        <v>0.23804347826086955</v>
      </c>
      <c r="V49" s="9">
        <f t="shared" si="4"/>
        <v>0.72684365781710925</v>
      </c>
      <c r="W49" s="9">
        <f t="shared" si="5"/>
        <v>6</v>
      </c>
      <c r="AA49" t="s">
        <v>7</v>
      </c>
      <c r="AB49" t="s">
        <v>1</v>
      </c>
      <c r="AC49">
        <v>17</v>
      </c>
      <c r="AD49">
        <v>257</v>
      </c>
      <c r="AE49">
        <v>117</v>
      </c>
      <c r="AG49">
        <v>4</v>
      </c>
      <c r="AH49">
        <v>26.7</v>
      </c>
      <c r="AI49">
        <v>70.099999999999994</v>
      </c>
      <c r="AJ49" s="9">
        <f t="shared" si="52"/>
        <v>4.0467391304347826</v>
      </c>
      <c r="AK49" s="9">
        <f t="shared" si="43"/>
        <v>26.685545722713869</v>
      </c>
      <c r="AL49" s="9">
        <f t="shared" si="44"/>
        <v>70.2</v>
      </c>
      <c r="AM49" s="3">
        <f t="shared" si="45"/>
        <v>0.94235414344110002</v>
      </c>
      <c r="AN49" s="3">
        <f t="shared" si="46"/>
        <v>0.61986402104396199</v>
      </c>
      <c r="AO49" s="3"/>
      <c r="AP49">
        <v>4</v>
      </c>
      <c r="AQ49">
        <v>17</v>
      </c>
      <c r="AR49">
        <v>5</v>
      </c>
      <c r="AS49">
        <v>1</v>
      </c>
      <c r="AT49">
        <v>1.8</v>
      </c>
      <c r="AU49">
        <v>3</v>
      </c>
      <c r="AV49" s="9">
        <f t="shared" si="47"/>
        <v>0.9521739130434782</v>
      </c>
      <c r="AW49" s="9">
        <f t="shared" si="48"/>
        <v>1.7651917404129793</v>
      </c>
      <c r="AX49" s="9">
        <f t="shared" si="49"/>
        <v>3</v>
      </c>
      <c r="AY49" s="3">
        <f t="shared" si="50"/>
        <v>0.68260869565217397</v>
      </c>
      <c r="AZ49" s="3">
        <f t="shared" si="51"/>
        <v>0.41160275319567352</v>
      </c>
    </row>
    <row r="50" spans="1:52" x14ac:dyDescent="0.25">
      <c r="A50" t="s">
        <v>8</v>
      </c>
      <c r="B50" t="s">
        <v>73</v>
      </c>
      <c r="C50">
        <v>4</v>
      </c>
      <c r="D50">
        <v>8</v>
      </c>
      <c r="E50">
        <v>6</v>
      </c>
      <c r="F50">
        <v>0.8</v>
      </c>
      <c r="G50">
        <v>0.9</v>
      </c>
      <c r="H50">
        <v>3.6</v>
      </c>
      <c r="I50" s="2" t="s">
        <v>8</v>
      </c>
      <c r="J50" t="s">
        <v>73</v>
      </c>
      <c r="K50">
        <v>87</v>
      </c>
      <c r="L50">
        <v>375</v>
      </c>
      <c r="M50">
        <v>96</v>
      </c>
      <c r="N50">
        <v>17.399999999999999</v>
      </c>
      <c r="O50">
        <v>42.3</v>
      </c>
      <c r="P50">
        <v>57.9</v>
      </c>
      <c r="Q50" s="1">
        <f t="shared" si="54"/>
        <v>500000.00000000006</v>
      </c>
      <c r="R50" s="1">
        <f t="shared" si="54"/>
        <v>886524.82269503549</v>
      </c>
      <c r="S50" s="1">
        <f t="shared" si="54"/>
        <v>165803.10880829016</v>
      </c>
      <c r="T50" s="1">
        <f t="shared" si="42"/>
        <v>1552327.9315033257</v>
      </c>
      <c r="U50" s="9">
        <f t="shared" si="3"/>
        <v>0.79999999999999993</v>
      </c>
      <c r="V50" s="9">
        <f t="shared" si="4"/>
        <v>0.90239999999999998</v>
      </c>
      <c r="W50" s="9">
        <f t="shared" si="5"/>
        <v>3.6187499999999999</v>
      </c>
      <c r="AA50" t="s">
        <v>8</v>
      </c>
      <c r="AB50" t="s">
        <v>1</v>
      </c>
      <c r="AC50">
        <v>15</v>
      </c>
      <c r="AD50">
        <v>265</v>
      </c>
      <c r="AE50">
        <v>128</v>
      </c>
      <c r="AG50">
        <v>3</v>
      </c>
      <c r="AH50">
        <v>29.9</v>
      </c>
      <c r="AI50">
        <v>77.2</v>
      </c>
      <c r="AJ50" s="9">
        <f t="shared" si="52"/>
        <v>2.9999999999999996</v>
      </c>
      <c r="AK50" s="9">
        <f t="shared" si="43"/>
        <v>29.891999999999999</v>
      </c>
      <c r="AL50" s="9">
        <f t="shared" si="44"/>
        <v>77.2</v>
      </c>
      <c r="AM50" s="3">
        <f t="shared" si="45"/>
        <v>0.96113989637305697</v>
      </c>
      <c r="AN50" s="3">
        <f t="shared" si="46"/>
        <v>0.61279792746113992</v>
      </c>
      <c r="AO50" s="3"/>
      <c r="AP50">
        <v>5</v>
      </c>
      <c r="AQ50">
        <v>15</v>
      </c>
      <c r="AR50">
        <v>7</v>
      </c>
      <c r="AS50">
        <v>1</v>
      </c>
      <c r="AT50">
        <v>1.7</v>
      </c>
      <c r="AU50">
        <v>4.2</v>
      </c>
      <c r="AV50" s="9">
        <f t="shared" si="47"/>
        <v>0.99999999999999989</v>
      </c>
      <c r="AW50" s="9">
        <f t="shared" si="48"/>
        <v>1.6920000000000002</v>
      </c>
      <c r="AX50" s="9">
        <f t="shared" si="49"/>
        <v>4.2218749999999998</v>
      </c>
      <c r="AY50" s="3">
        <f t="shared" si="50"/>
        <v>0.7631384159881569</v>
      </c>
      <c r="AZ50" s="3">
        <f t="shared" si="51"/>
        <v>0.59923019985196146</v>
      </c>
    </row>
    <row r="51" spans="1:52" x14ac:dyDescent="0.25">
      <c r="A51" t="s">
        <v>9</v>
      </c>
      <c r="B51" t="s">
        <v>73</v>
      </c>
      <c r="C51">
        <v>2</v>
      </c>
      <c r="D51">
        <v>12</v>
      </c>
      <c r="E51">
        <v>10</v>
      </c>
      <c r="F51">
        <v>0.3</v>
      </c>
      <c r="G51">
        <v>1.5</v>
      </c>
      <c r="H51">
        <v>6.1</v>
      </c>
      <c r="I51" s="2" t="s">
        <v>9</v>
      </c>
      <c r="J51" t="s">
        <v>73</v>
      </c>
      <c r="K51">
        <v>212</v>
      </c>
      <c r="L51">
        <v>616</v>
      </c>
      <c r="M51">
        <v>123</v>
      </c>
      <c r="N51">
        <v>37</v>
      </c>
      <c r="O51">
        <v>75.900000000000006</v>
      </c>
      <c r="P51">
        <v>74.8</v>
      </c>
      <c r="Q51" s="1">
        <f t="shared" si="54"/>
        <v>572972.97297297302</v>
      </c>
      <c r="R51" s="1">
        <f t="shared" si="54"/>
        <v>811594.20289855066</v>
      </c>
      <c r="S51" s="1">
        <f t="shared" si="54"/>
        <v>164438.50267379679</v>
      </c>
      <c r="T51" s="1">
        <f t="shared" si="42"/>
        <v>1549005.6785453204</v>
      </c>
      <c r="U51" s="9">
        <f t="shared" si="3"/>
        <v>0.34905660377358488</v>
      </c>
      <c r="V51" s="9">
        <f t="shared" si="4"/>
        <v>1.4785714285714286</v>
      </c>
      <c r="W51" s="9">
        <f t="shared" si="5"/>
        <v>6.0813008130081299</v>
      </c>
      <c r="AA51" t="s">
        <v>9</v>
      </c>
      <c r="AB51" t="s">
        <v>1</v>
      </c>
      <c r="AC51">
        <v>18</v>
      </c>
      <c r="AD51">
        <v>250</v>
      </c>
      <c r="AE51">
        <v>135</v>
      </c>
      <c r="AG51">
        <v>3.1</v>
      </c>
      <c r="AH51">
        <v>30.8</v>
      </c>
      <c r="AI51">
        <v>82.1</v>
      </c>
      <c r="AJ51" s="9">
        <f t="shared" si="52"/>
        <v>3.1415094339622636</v>
      </c>
      <c r="AK51" s="9">
        <f t="shared" si="43"/>
        <v>30.803571428571431</v>
      </c>
      <c r="AL51" s="9">
        <f t="shared" si="44"/>
        <v>82.097560975609753</v>
      </c>
      <c r="AM51" s="3">
        <f t="shared" si="45"/>
        <v>0.96173443648471402</v>
      </c>
      <c r="AN51" s="3">
        <f t="shared" si="46"/>
        <v>0.62479309905780489</v>
      </c>
      <c r="AO51" s="3"/>
      <c r="AP51">
        <v>1</v>
      </c>
      <c r="AQ51">
        <v>7</v>
      </c>
      <c r="AR51">
        <v>3</v>
      </c>
      <c r="AS51">
        <v>0.2</v>
      </c>
      <c r="AT51">
        <v>0.9</v>
      </c>
      <c r="AU51">
        <v>1.8</v>
      </c>
      <c r="AV51" s="9">
        <f t="shared" si="47"/>
        <v>0.17452830188679244</v>
      </c>
      <c r="AW51" s="9">
        <f t="shared" si="48"/>
        <v>0.86250000000000016</v>
      </c>
      <c r="AX51" s="9">
        <f t="shared" si="49"/>
        <v>1.8243902439024391</v>
      </c>
      <c r="AY51" s="3">
        <f t="shared" si="50"/>
        <v>0.90433609121178493</v>
      </c>
      <c r="AZ51" s="3">
        <f t="shared" si="51"/>
        <v>0.5272393048128341</v>
      </c>
    </row>
    <row r="52" spans="1:52" x14ac:dyDescent="0.25">
      <c r="A52" t="s">
        <v>10</v>
      </c>
      <c r="B52" t="s">
        <v>73</v>
      </c>
      <c r="C52">
        <v>1</v>
      </c>
      <c r="D52">
        <v>8</v>
      </c>
      <c r="E52">
        <v>5</v>
      </c>
      <c r="F52">
        <v>0.2</v>
      </c>
      <c r="G52">
        <v>1.1000000000000001</v>
      </c>
      <c r="H52">
        <v>3.1</v>
      </c>
      <c r="I52" s="2" t="s">
        <v>10</v>
      </c>
      <c r="J52" t="s">
        <v>73</v>
      </c>
      <c r="K52">
        <v>163</v>
      </c>
      <c r="L52">
        <v>414</v>
      </c>
      <c r="M52">
        <v>114</v>
      </c>
      <c r="N52">
        <v>25.2</v>
      </c>
      <c r="O52">
        <v>56</v>
      </c>
      <c r="P52">
        <v>69.8</v>
      </c>
      <c r="Q52" s="1">
        <f t="shared" si="54"/>
        <v>646825.39682539681</v>
      </c>
      <c r="R52" s="1">
        <f t="shared" si="54"/>
        <v>739285.71428571432</v>
      </c>
      <c r="S52" s="1">
        <f t="shared" si="54"/>
        <v>163323.78223495703</v>
      </c>
      <c r="T52" s="1">
        <f t="shared" si="42"/>
        <v>1549434.893346068</v>
      </c>
      <c r="U52" s="9">
        <f t="shared" si="3"/>
        <v>0.15460122699386503</v>
      </c>
      <c r="V52" s="9">
        <f t="shared" si="4"/>
        <v>1.0821256038647342</v>
      </c>
      <c r="W52" s="9">
        <f t="shared" si="5"/>
        <v>3.0614035087719298</v>
      </c>
      <c r="AA52" t="s">
        <v>10</v>
      </c>
      <c r="AB52" t="s">
        <v>1</v>
      </c>
      <c r="AC52">
        <v>26</v>
      </c>
      <c r="AD52">
        <v>254</v>
      </c>
      <c r="AE52">
        <v>148</v>
      </c>
      <c r="AG52">
        <v>4</v>
      </c>
      <c r="AH52">
        <v>34.4</v>
      </c>
      <c r="AI52">
        <v>90.7</v>
      </c>
      <c r="AJ52" s="9">
        <f t="shared" si="52"/>
        <v>4.0196319018404907</v>
      </c>
      <c r="AK52" s="9">
        <f t="shared" si="43"/>
        <v>34.35748792270531</v>
      </c>
      <c r="AL52" s="9">
        <f t="shared" si="44"/>
        <v>90.617543859649118</v>
      </c>
      <c r="AM52" s="3">
        <f t="shared" si="45"/>
        <v>0.95564179152696738</v>
      </c>
      <c r="AN52" s="3">
        <f t="shared" si="46"/>
        <v>0.62085169759269676</v>
      </c>
      <c r="AO52" s="3"/>
      <c r="AP52">
        <v>3</v>
      </c>
      <c r="AQ52">
        <v>12</v>
      </c>
      <c r="AR52">
        <v>5</v>
      </c>
      <c r="AS52">
        <v>0.5</v>
      </c>
      <c r="AT52">
        <v>1.6</v>
      </c>
      <c r="AU52">
        <v>3.1</v>
      </c>
      <c r="AV52" s="9">
        <f t="shared" si="47"/>
        <v>0.46380368098159513</v>
      </c>
      <c r="AW52" s="9">
        <f t="shared" si="48"/>
        <v>1.6231884057971016</v>
      </c>
      <c r="AX52" s="9">
        <f t="shared" si="49"/>
        <v>3.0614035087719298</v>
      </c>
      <c r="AY52" s="3">
        <f t="shared" si="50"/>
        <v>0.84849965721518095</v>
      </c>
      <c r="AZ52" s="3">
        <f t="shared" si="51"/>
        <v>0.46978946057057425</v>
      </c>
    </row>
    <row r="53" spans="1:52" x14ac:dyDescent="0.25">
      <c r="A53" t="s">
        <v>11</v>
      </c>
      <c r="B53" t="s">
        <v>73</v>
      </c>
      <c r="C53">
        <v>4</v>
      </c>
      <c r="D53">
        <v>13</v>
      </c>
      <c r="E53">
        <v>4</v>
      </c>
      <c r="F53">
        <v>0.6</v>
      </c>
      <c r="G53">
        <v>1.9</v>
      </c>
      <c r="H53">
        <v>2.5</v>
      </c>
      <c r="I53" s="2" t="s">
        <v>11</v>
      </c>
      <c r="J53" t="s">
        <v>73</v>
      </c>
      <c r="K53">
        <v>192</v>
      </c>
      <c r="L53">
        <v>393</v>
      </c>
      <c r="M53">
        <v>121</v>
      </c>
      <c r="N53">
        <v>27.1</v>
      </c>
      <c r="O53">
        <v>57.8</v>
      </c>
      <c r="P53">
        <v>74.599999999999994</v>
      </c>
      <c r="Q53" s="1">
        <f>K53*100000/(N53+0.0000000001)</f>
        <v>708487.08486823435</v>
      </c>
      <c r="R53" s="1">
        <f>L53*100000/(O53+0.0000000001)</f>
        <v>679930.79584657447</v>
      </c>
      <c r="S53" s="1">
        <f>M53*100000/(P53+0.0000000001)</f>
        <v>162198.39142069413</v>
      </c>
      <c r="T53" s="1">
        <f t="shared" si="42"/>
        <v>1550616.2721355029</v>
      </c>
      <c r="U53" s="9">
        <f t="shared" si="3"/>
        <v>0.56458333333541666</v>
      </c>
      <c r="V53" s="9">
        <f t="shared" si="4"/>
        <v>1.9119592875351146</v>
      </c>
      <c r="W53" s="9">
        <f t="shared" si="5"/>
        <v>2.4661157024826443</v>
      </c>
      <c r="AA53" t="s">
        <v>11</v>
      </c>
      <c r="AB53" t="s">
        <v>1</v>
      </c>
      <c r="AC53">
        <v>30</v>
      </c>
      <c r="AD53">
        <v>247</v>
      </c>
      <c r="AE53">
        <v>161</v>
      </c>
      <c r="AG53">
        <v>4.2</v>
      </c>
      <c r="AH53">
        <v>36.4</v>
      </c>
      <c r="AI53">
        <v>99.3</v>
      </c>
      <c r="AJ53" s="9">
        <f t="shared" si="52"/>
        <v>4.2343750000156248</v>
      </c>
      <c r="AK53" s="9">
        <f t="shared" si="43"/>
        <v>36.327226463167179</v>
      </c>
      <c r="AL53" s="9">
        <f t="shared" si="44"/>
        <v>99.261157024926433</v>
      </c>
      <c r="AM53" s="3">
        <f t="shared" si="45"/>
        <v>0.95734106747363135</v>
      </c>
      <c r="AN53" s="3">
        <f t="shared" si="46"/>
        <v>0.63402374552167773</v>
      </c>
      <c r="AO53" s="3"/>
      <c r="AP53">
        <v>3</v>
      </c>
      <c r="AQ53">
        <v>11</v>
      </c>
      <c r="AR53">
        <v>13</v>
      </c>
      <c r="AS53">
        <v>0.4</v>
      </c>
      <c r="AT53">
        <v>1.6</v>
      </c>
      <c r="AU53">
        <v>8</v>
      </c>
      <c r="AV53" s="9">
        <f t="shared" si="47"/>
        <v>0.42343750000156249</v>
      </c>
      <c r="AW53" s="9">
        <f t="shared" si="48"/>
        <v>1.6178117048374048</v>
      </c>
      <c r="AX53" s="9">
        <f t="shared" si="49"/>
        <v>8.0148760330685942</v>
      </c>
      <c r="AY53" s="3">
        <f t="shared" si="50"/>
        <v>0.94716855279426648</v>
      </c>
      <c r="AZ53" s="3">
        <f t="shared" si="51"/>
        <v>0.79814887988754013</v>
      </c>
    </row>
    <row r="54" spans="1:52" x14ac:dyDescent="0.25">
      <c r="A54" t="s">
        <v>12</v>
      </c>
      <c r="B54" t="s">
        <v>73</v>
      </c>
      <c r="C54">
        <v>1</v>
      </c>
      <c r="D54">
        <v>14</v>
      </c>
      <c r="E54">
        <v>10</v>
      </c>
      <c r="F54">
        <v>0.1</v>
      </c>
      <c r="G54">
        <v>2.2000000000000002</v>
      </c>
      <c r="H54">
        <v>6.2</v>
      </c>
      <c r="I54" s="2" t="s">
        <v>12</v>
      </c>
      <c r="J54" t="s">
        <v>73</v>
      </c>
      <c r="K54">
        <v>165</v>
      </c>
      <c r="L54">
        <v>386</v>
      </c>
      <c r="M54">
        <v>127</v>
      </c>
      <c r="N54">
        <v>21.6</v>
      </c>
      <c r="O54">
        <v>62</v>
      </c>
      <c r="P54">
        <v>79</v>
      </c>
      <c r="Q54" s="1">
        <f t="shared" ref="Q54:S55" si="55">K54*100000/N54</f>
        <v>763888.88888888888</v>
      </c>
      <c r="R54" s="1">
        <f t="shared" si="55"/>
        <v>622580.6451612903</v>
      </c>
      <c r="S54" s="1">
        <f t="shared" si="55"/>
        <v>160759.49367088606</v>
      </c>
      <c r="T54" s="1">
        <f t="shared" si="42"/>
        <v>1547229.0277210653</v>
      </c>
      <c r="U54" s="9">
        <f t="shared" si="3"/>
        <v>0.13090909090909092</v>
      </c>
      <c r="V54" s="9">
        <f t="shared" si="4"/>
        <v>2.2487046632124352</v>
      </c>
      <c r="W54" s="9">
        <f t="shared" si="5"/>
        <v>6.2204724409448824</v>
      </c>
      <c r="AA54" t="s">
        <v>12</v>
      </c>
      <c r="AB54" t="s">
        <v>1</v>
      </c>
      <c r="AC54">
        <v>31</v>
      </c>
      <c r="AD54">
        <v>242</v>
      </c>
      <c r="AE54">
        <v>160</v>
      </c>
      <c r="AG54">
        <v>4</v>
      </c>
      <c r="AH54">
        <v>38.9</v>
      </c>
      <c r="AI54">
        <v>99.5</v>
      </c>
      <c r="AJ54" s="9">
        <f t="shared" si="52"/>
        <v>4.0581818181818186</v>
      </c>
      <c r="AK54" s="9">
        <f t="shared" si="43"/>
        <v>38.870466321243526</v>
      </c>
      <c r="AL54" s="9">
        <f t="shared" si="44"/>
        <v>99.527559055118118</v>
      </c>
      <c r="AM54" s="3">
        <f t="shared" si="45"/>
        <v>0.95922554660529347</v>
      </c>
      <c r="AN54" s="3">
        <f t="shared" si="46"/>
        <v>0.60945021971535385</v>
      </c>
      <c r="AO54" s="3"/>
      <c r="AP54">
        <v>0</v>
      </c>
      <c r="AQ54">
        <v>10</v>
      </c>
      <c r="AR54">
        <v>7</v>
      </c>
      <c r="AS54">
        <v>0</v>
      </c>
      <c r="AT54">
        <v>1.6</v>
      </c>
      <c r="AU54">
        <v>4.4000000000000004</v>
      </c>
      <c r="AV54" s="9">
        <f t="shared" si="47"/>
        <v>0</v>
      </c>
      <c r="AW54" s="9">
        <f t="shared" si="48"/>
        <v>1.6062176165803108</v>
      </c>
      <c r="AX54" s="9">
        <f t="shared" si="49"/>
        <v>4.3543307086614176</v>
      </c>
      <c r="AY54" s="3">
        <f t="shared" si="50"/>
        <v>1</v>
      </c>
      <c r="AZ54" s="3">
        <f t="shared" si="51"/>
        <v>0.63112181319041682</v>
      </c>
    </row>
    <row r="55" spans="1:52" x14ac:dyDescent="0.25">
      <c r="A55" t="s">
        <v>13</v>
      </c>
      <c r="B55" t="s">
        <v>73</v>
      </c>
      <c r="C55">
        <v>5</v>
      </c>
      <c r="D55">
        <v>11</v>
      </c>
      <c r="E55">
        <v>4</v>
      </c>
      <c r="F55">
        <v>0.6</v>
      </c>
      <c r="G55">
        <v>1.8</v>
      </c>
      <c r="H55">
        <v>2.5</v>
      </c>
      <c r="I55" s="2" t="s">
        <v>13</v>
      </c>
      <c r="J55" t="s">
        <v>73</v>
      </c>
      <c r="K55">
        <v>140</v>
      </c>
      <c r="L55">
        <v>384</v>
      </c>
      <c r="M55">
        <v>119</v>
      </c>
      <c r="N55">
        <v>17.7</v>
      </c>
      <c r="O55">
        <v>64.3</v>
      </c>
      <c r="P55">
        <v>74.3</v>
      </c>
      <c r="Q55" s="1">
        <f t="shared" si="55"/>
        <v>790960.45197740116</v>
      </c>
      <c r="R55" s="1">
        <f t="shared" si="55"/>
        <v>597200.62208398141</v>
      </c>
      <c r="S55" s="1">
        <f t="shared" si="55"/>
        <v>160161.50740242261</v>
      </c>
      <c r="T55" s="1">
        <f t="shared" si="42"/>
        <v>1548322.5814638052</v>
      </c>
      <c r="U55" s="9">
        <f t="shared" si="3"/>
        <v>0.63214285714285712</v>
      </c>
      <c r="V55" s="9">
        <f t="shared" si="4"/>
        <v>1.841927083333333</v>
      </c>
      <c r="W55" s="9">
        <f t="shared" si="5"/>
        <v>2.4974789915966387</v>
      </c>
      <c r="AA55" t="s">
        <v>13</v>
      </c>
      <c r="AB55" t="s">
        <v>1</v>
      </c>
      <c r="AC55">
        <v>37</v>
      </c>
      <c r="AD55">
        <v>233</v>
      </c>
      <c r="AE55">
        <v>172</v>
      </c>
      <c r="AG55">
        <v>4.7</v>
      </c>
      <c r="AH55">
        <v>39</v>
      </c>
      <c r="AI55">
        <v>107.4</v>
      </c>
      <c r="AJ55" s="9">
        <f t="shared" si="52"/>
        <v>4.6778571428571425</v>
      </c>
      <c r="AK55" s="9">
        <f t="shared" si="43"/>
        <v>39.01536458333333</v>
      </c>
      <c r="AL55" s="9">
        <f t="shared" si="44"/>
        <v>107.39159663865547</v>
      </c>
      <c r="AM55" s="3">
        <f t="shared" si="45"/>
        <v>0.95644112491783784</v>
      </c>
      <c r="AN55" s="3">
        <f t="shared" si="46"/>
        <v>0.63670002305106066</v>
      </c>
      <c r="AO55" s="3"/>
      <c r="AP55">
        <v>3</v>
      </c>
      <c r="AQ55">
        <v>7</v>
      </c>
      <c r="AR55">
        <v>6</v>
      </c>
      <c r="AS55">
        <v>0.4</v>
      </c>
      <c r="AT55">
        <v>1.2</v>
      </c>
      <c r="AU55">
        <v>3.7</v>
      </c>
      <c r="AV55" s="9">
        <f t="shared" si="47"/>
        <v>0.37928571428571428</v>
      </c>
      <c r="AW55" s="9">
        <f t="shared" si="48"/>
        <v>1.1721354166666664</v>
      </c>
      <c r="AX55" s="9">
        <f t="shared" si="49"/>
        <v>3.746218487394958</v>
      </c>
      <c r="AY55" s="3">
        <f t="shared" si="50"/>
        <v>0.8987550471063257</v>
      </c>
      <c r="AZ55" s="3">
        <f t="shared" si="51"/>
        <v>0.68711504131149992</v>
      </c>
    </row>
    <row r="56" spans="1:52" x14ac:dyDescent="0.25">
      <c r="A56" t="s">
        <v>14</v>
      </c>
      <c r="B56" t="s">
        <v>73</v>
      </c>
      <c r="C56">
        <v>2</v>
      </c>
      <c r="D56">
        <v>10</v>
      </c>
      <c r="E56">
        <v>9</v>
      </c>
      <c r="F56">
        <v>0.2</v>
      </c>
      <c r="G56">
        <v>1.7</v>
      </c>
      <c r="H56">
        <v>5.6</v>
      </c>
      <c r="I56" s="2" t="s">
        <v>14</v>
      </c>
      <c r="J56" t="s">
        <v>73</v>
      </c>
      <c r="K56">
        <v>76</v>
      </c>
      <c r="L56">
        <v>253</v>
      </c>
      <c r="M56">
        <v>73</v>
      </c>
      <c r="N56">
        <v>9.4</v>
      </c>
      <c r="O56">
        <v>43.4</v>
      </c>
      <c r="P56">
        <v>45.7</v>
      </c>
      <c r="Q56" s="1">
        <f>K56*100000/(N56+0.0000000001)</f>
        <v>808510.63828927116</v>
      </c>
      <c r="R56" s="1">
        <f>L56*100000/(O56+0.0000000001)</f>
        <v>582949.30875441711</v>
      </c>
      <c r="S56" s="1">
        <f>M56*100000/(P56+0.0000000001)</f>
        <v>159737.41794275766</v>
      </c>
      <c r="T56" s="1">
        <f t="shared" si="42"/>
        <v>1551197.364986446</v>
      </c>
      <c r="U56" s="9">
        <f t="shared" si="3"/>
        <v>0.24736842105526316</v>
      </c>
      <c r="V56" s="9">
        <f t="shared" si="4"/>
        <v>1.7154150197667986</v>
      </c>
      <c r="W56" s="9">
        <f t="shared" si="5"/>
        <v>5.6342465753547959</v>
      </c>
      <c r="AA56" t="s">
        <v>14</v>
      </c>
      <c r="AB56" t="s">
        <v>1</v>
      </c>
      <c r="AC56">
        <v>44</v>
      </c>
      <c r="AD56">
        <v>238</v>
      </c>
      <c r="AE56">
        <v>189</v>
      </c>
      <c r="AG56">
        <v>5.5</v>
      </c>
      <c r="AH56">
        <v>40.9</v>
      </c>
      <c r="AI56">
        <v>118.3</v>
      </c>
      <c r="AJ56" s="9">
        <f t="shared" si="52"/>
        <v>5.4421052632157894</v>
      </c>
      <c r="AK56" s="9">
        <f t="shared" si="43"/>
        <v>40.826877470449809</v>
      </c>
      <c r="AL56" s="9">
        <f t="shared" si="44"/>
        <v>118.31917808245069</v>
      </c>
      <c r="AM56" s="3">
        <f t="shared" si="45"/>
        <v>0.95400487603604334</v>
      </c>
      <c r="AN56" s="3">
        <f t="shared" si="46"/>
        <v>0.65494285768280425</v>
      </c>
      <c r="AO56" s="3"/>
      <c r="AP56">
        <v>4</v>
      </c>
      <c r="AQ56">
        <v>6</v>
      </c>
      <c r="AR56">
        <v>10</v>
      </c>
      <c r="AS56">
        <v>0.5</v>
      </c>
      <c r="AT56">
        <v>1</v>
      </c>
      <c r="AU56">
        <v>6.3</v>
      </c>
      <c r="AV56" s="9">
        <f t="shared" si="47"/>
        <v>0.49473684211052632</v>
      </c>
      <c r="AW56" s="9">
        <f t="shared" si="48"/>
        <v>1.0292490118600792</v>
      </c>
      <c r="AX56" s="9">
        <f t="shared" si="49"/>
        <v>6.2602739726164387</v>
      </c>
      <c r="AY56" s="3">
        <f t="shared" si="50"/>
        <v>0.92097201428011077</v>
      </c>
      <c r="AZ56" s="3">
        <f t="shared" si="51"/>
        <v>0.83559042042533616</v>
      </c>
    </row>
    <row r="57" spans="1:52" x14ac:dyDescent="0.25">
      <c r="A57" t="s">
        <v>15</v>
      </c>
      <c r="B57" t="s">
        <v>73</v>
      </c>
      <c r="C57">
        <v>2</v>
      </c>
      <c r="D57">
        <v>14</v>
      </c>
      <c r="E57">
        <v>12</v>
      </c>
      <c r="F57">
        <v>0.2</v>
      </c>
      <c r="G57">
        <v>2.6</v>
      </c>
      <c r="H57">
        <v>7.6</v>
      </c>
      <c r="I57" s="2" t="s">
        <v>15</v>
      </c>
      <c r="J57" t="s">
        <v>73</v>
      </c>
      <c r="K57">
        <v>97</v>
      </c>
      <c r="L57">
        <v>252</v>
      </c>
      <c r="M57">
        <v>99</v>
      </c>
      <c r="N57">
        <v>11.5</v>
      </c>
      <c r="O57">
        <v>46.4</v>
      </c>
      <c r="P57">
        <v>62.4</v>
      </c>
      <c r="Q57" s="1">
        <f>K57*100000/N57</f>
        <v>843478.26086956519</v>
      </c>
      <c r="R57" s="1">
        <f>L57*100000/O57</f>
        <v>543103.44827586203</v>
      </c>
      <c r="S57" s="1">
        <f>M57*100000/P57</f>
        <v>158653.84615384616</v>
      </c>
      <c r="T57" s="1">
        <f t="shared" si="42"/>
        <v>1545235.5552992735</v>
      </c>
      <c r="U57" s="9">
        <f t="shared" si="3"/>
        <v>0.23711340206185566</v>
      </c>
      <c r="V57" s="9">
        <f t="shared" si="4"/>
        <v>2.5777777777777779</v>
      </c>
      <c r="W57" s="9">
        <f t="shared" si="5"/>
        <v>7.5636363636363635</v>
      </c>
      <c r="AA57" t="s">
        <v>15</v>
      </c>
      <c r="AB57" t="s">
        <v>1</v>
      </c>
      <c r="AC57">
        <v>52</v>
      </c>
      <c r="AD57">
        <v>247</v>
      </c>
      <c r="AE57">
        <v>191</v>
      </c>
      <c r="AG57">
        <v>6.1</v>
      </c>
      <c r="AH57">
        <v>45.5</v>
      </c>
      <c r="AI57">
        <v>120.3</v>
      </c>
      <c r="AJ57" s="9">
        <f t="shared" si="52"/>
        <v>6.1649484536082468</v>
      </c>
      <c r="AK57" s="9">
        <f t="shared" si="43"/>
        <v>45.479365079365081</v>
      </c>
      <c r="AL57" s="9">
        <f t="shared" si="44"/>
        <v>120.38787878787879</v>
      </c>
      <c r="AM57" s="3">
        <f t="shared" si="45"/>
        <v>0.94879095374318567</v>
      </c>
      <c r="AN57" s="3">
        <f t="shared" si="46"/>
        <v>0.62222637746197962</v>
      </c>
      <c r="AO57" s="3"/>
      <c r="AP57">
        <v>3</v>
      </c>
      <c r="AQ57">
        <v>6</v>
      </c>
      <c r="AR57">
        <v>10</v>
      </c>
      <c r="AS57">
        <v>0.4</v>
      </c>
      <c r="AT57">
        <v>1.1000000000000001</v>
      </c>
      <c r="AU57">
        <v>6.3</v>
      </c>
      <c r="AV57" s="9">
        <f t="shared" si="47"/>
        <v>0.35567010309278352</v>
      </c>
      <c r="AW57" s="9">
        <f t="shared" si="48"/>
        <v>1.1047619047619048</v>
      </c>
      <c r="AX57" s="9">
        <f t="shared" si="49"/>
        <v>6.3030303030303028</v>
      </c>
      <c r="AY57" s="3">
        <f t="shared" si="50"/>
        <v>0.9435715701823949</v>
      </c>
      <c r="AZ57" s="3">
        <f t="shared" si="51"/>
        <v>0.82472527472527468</v>
      </c>
    </row>
    <row r="58" spans="1:52" x14ac:dyDescent="0.25">
      <c r="A58" t="s">
        <v>16</v>
      </c>
      <c r="B58" t="s">
        <v>73</v>
      </c>
      <c r="C58">
        <v>7</v>
      </c>
      <c r="D58">
        <v>6</v>
      </c>
      <c r="E58">
        <v>4</v>
      </c>
      <c r="F58">
        <v>0.8</v>
      </c>
      <c r="G58">
        <v>1.2</v>
      </c>
      <c r="H58">
        <v>2.5</v>
      </c>
      <c r="I58" s="2" t="s">
        <v>16</v>
      </c>
      <c r="J58" t="s">
        <v>73</v>
      </c>
      <c r="K58">
        <v>162</v>
      </c>
      <c r="L58">
        <v>350</v>
      </c>
      <c r="M58">
        <v>134</v>
      </c>
      <c r="N58">
        <v>18.399999999999999</v>
      </c>
      <c r="O58">
        <v>68.900000000000006</v>
      </c>
      <c r="P58">
        <v>84.8</v>
      </c>
      <c r="Q58" s="1">
        <f t="shared" ref="Q58:S59" si="56">K58*100000/(N58+0.0000000001)</f>
        <v>880434.78260391089</v>
      </c>
      <c r="R58" s="1">
        <f t="shared" si="56"/>
        <v>507982.58345354424</v>
      </c>
      <c r="S58" s="1">
        <f t="shared" si="56"/>
        <v>158018.86792434196</v>
      </c>
      <c r="T58" s="1">
        <f t="shared" si="42"/>
        <v>1546436.233981797</v>
      </c>
      <c r="U58" s="9">
        <f t="shared" si="3"/>
        <v>0.79506172839938249</v>
      </c>
      <c r="V58" s="9">
        <f t="shared" si="4"/>
        <v>1.1811428571445717</v>
      </c>
      <c r="W58" s="9">
        <f t="shared" si="5"/>
        <v>2.5313432835850747</v>
      </c>
      <c r="AA58" t="s">
        <v>16</v>
      </c>
      <c r="AB58" t="s">
        <v>1</v>
      </c>
      <c r="AC58">
        <v>48</v>
      </c>
      <c r="AD58">
        <v>237</v>
      </c>
      <c r="AE58">
        <v>205</v>
      </c>
      <c r="AG58">
        <v>5.4</v>
      </c>
      <c r="AH58">
        <v>46.6</v>
      </c>
      <c r="AI58">
        <v>129.80000000000001</v>
      </c>
      <c r="AJ58" s="9">
        <f t="shared" si="52"/>
        <v>5.4518518518814805</v>
      </c>
      <c r="AK58" s="9">
        <f t="shared" si="43"/>
        <v>46.655142857210578</v>
      </c>
      <c r="AL58" s="9">
        <f t="shared" si="44"/>
        <v>129.73134328373507</v>
      </c>
      <c r="AM58" s="3">
        <f t="shared" si="45"/>
        <v>0.95797583133046149</v>
      </c>
      <c r="AN58" s="3">
        <f t="shared" si="46"/>
        <v>0.64037108013927491</v>
      </c>
      <c r="AO58" s="3"/>
      <c r="AP58">
        <v>2</v>
      </c>
      <c r="AQ58">
        <v>7</v>
      </c>
      <c r="AR58">
        <v>11</v>
      </c>
      <c r="AS58">
        <v>0.2</v>
      </c>
      <c r="AT58">
        <v>1.4</v>
      </c>
      <c r="AU58">
        <v>7</v>
      </c>
      <c r="AV58" s="9">
        <f t="shared" si="47"/>
        <v>0.22716049382839498</v>
      </c>
      <c r="AW58" s="9">
        <f t="shared" si="48"/>
        <v>1.3780000000020003</v>
      </c>
      <c r="AX58" s="9">
        <f t="shared" si="49"/>
        <v>6.9611940298589552</v>
      </c>
      <c r="AY58" s="3">
        <f t="shared" si="50"/>
        <v>0.96736759629827507</v>
      </c>
      <c r="AZ58" s="3">
        <f t="shared" si="51"/>
        <v>0.80204545454540066</v>
      </c>
    </row>
    <row r="59" spans="1:52" x14ac:dyDescent="0.25">
      <c r="A59" t="s">
        <v>17</v>
      </c>
      <c r="B59" t="s">
        <v>73</v>
      </c>
      <c r="C59">
        <v>5</v>
      </c>
      <c r="D59">
        <v>12</v>
      </c>
      <c r="E59">
        <v>6</v>
      </c>
      <c r="F59">
        <v>0.5</v>
      </c>
      <c r="G59">
        <v>2.5</v>
      </c>
      <c r="H59">
        <v>3.8</v>
      </c>
      <c r="I59" s="2" t="s">
        <v>17</v>
      </c>
      <c r="J59" t="s">
        <v>73</v>
      </c>
      <c r="K59">
        <v>152</v>
      </c>
      <c r="L59">
        <v>301</v>
      </c>
      <c r="M59">
        <v>116</v>
      </c>
      <c r="N59">
        <v>16.600000000000001</v>
      </c>
      <c r="O59">
        <v>63</v>
      </c>
      <c r="P59">
        <v>73.8</v>
      </c>
      <c r="Q59" s="1">
        <f t="shared" si="56"/>
        <v>915662.65059689363</v>
      </c>
      <c r="R59" s="1">
        <f t="shared" si="56"/>
        <v>477777.77777701936</v>
      </c>
      <c r="S59" s="1">
        <f t="shared" si="56"/>
        <v>157181.57181550519</v>
      </c>
      <c r="T59" s="1">
        <f t="shared" si="42"/>
        <v>1550622.0001894182</v>
      </c>
      <c r="U59" s="9">
        <f t="shared" si="3"/>
        <v>0.54605263158223682</v>
      </c>
      <c r="V59" s="9">
        <f t="shared" si="4"/>
        <v>2.5116279069807312</v>
      </c>
      <c r="W59" s="9">
        <f t="shared" si="5"/>
        <v>3.8172413793155169</v>
      </c>
      <c r="AA59" t="s">
        <v>17</v>
      </c>
      <c r="AB59" t="s">
        <v>1</v>
      </c>
      <c r="AC59">
        <v>56</v>
      </c>
      <c r="AD59">
        <v>227</v>
      </c>
      <c r="AE59">
        <v>211</v>
      </c>
      <c r="AG59">
        <v>6.1</v>
      </c>
      <c r="AH59">
        <v>47.5</v>
      </c>
      <c r="AI59">
        <v>134.30000000000001</v>
      </c>
      <c r="AJ59" s="9">
        <f t="shared" si="52"/>
        <v>6.1157894737210521</v>
      </c>
      <c r="AK59" s="9">
        <f t="shared" si="43"/>
        <v>47.511627907052159</v>
      </c>
      <c r="AL59" s="9">
        <f t="shared" si="44"/>
        <v>134.23965517259569</v>
      </c>
      <c r="AM59" s="3">
        <f t="shared" si="45"/>
        <v>0.95444126055108081</v>
      </c>
      <c r="AN59" s="3">
        <f t="shared" si="46"/>
        <v>0.64606860881782557</v>
      </c>
      <c r="AO59" s="3"/>
      <c r="AP59">
        <v>3</v>
      </c>
      <c r="AQ59">
        <v>7</v>
      </c>
      <c r="AR59">
        <v>9</v>
      </c>
      <c r="AS59">
        <v>0.3</v>
      </c>
      <c r="AT59">
        <v>1.5</v>
      </c>
      <c r="AU59">
        <v>5.7</v>
      </c>
      <c r="AV59" s="9">
        <f t="shared" si="47"/>
        <v>0.32763157894934214</v>
      </c>
      <c r="AW59" s="9">
        <f t="shared" si="48"/>
        <v>1.4651162790720933</v>
      </c>
      <c r="AX59" s="9">
        <f t="shared" si="49"/>
        <v>5.7258620689732753</v>
      </c>
      <c r="AY59" s="3">
        <f t="shared" si="50"/>
        <v>0.94278039271594072</v>
      </c>
      <c r="AZ59" s="3">
        <f t="shared" si="51"/>
        <v>0.74412302262551555</v>
      </c>
    </row>
    <row r="60" spans="1:52" x14ac:dyDescent="0.25">
      <c r="A60" t="s">
        <v>18</v>
      </c>
      <c r="B60" t="s">
        <v>73</v>
      </c>
      <c r="C60">
        <v>7</v>
      </c>
      <c r="D60">
        <v>12</v>
      </c>
      <c r="E60">
        <v>9</v>
      </c>
      <c r="F60">
        <v>0.7</v>
      </c>
      <c r="G60">
        <v>2.7</v>
      </c>
      <c r="H60">
        <v>5.8</v>
      </c>
      <c r="I60" s="2" t="s">
        <v>18</v>
      </c>
      <c r="J60" t="s">
        <v>73</v>
      </c>
      <c r="K60">
        <v>130</v>
      </c>
      <c r="L60">
        <v>271</v>
      </c>
      <c r="M60">
        <v>97</v>
      </c>
      <c r="N60">
        <v>13.8</v>
      </c>
      <c r="O60">
        <v>59.9</v>
      </c>
      <c r="P60">
        <v>62</v>
      </c>
      <c r="Q60" s="1">
        <f t="shared" ref="Q60:S61" si="57">K60*100000/N60</f>
        <v>942028.98550724634</v>
      </c>
      <c r="R60" s="1">
        <f t="shared" si="57"/>
        <v>452420.70116861438</v>
      </c>
      <c r="S60" s="1">
        <f t="shared" si="57"/>
        <v>156451.61290322582</v>
      </c>
      <c r="T60" s="1">
        <f t="shared" si="42"/>
        <v>1550901.2995790867</v>
      </c>
      <c r="U60" s="9">
        <f t="shared" si="3"/>
        <v>0.74307692307692308</v>
      </c>
      <c r="V60" s="9">
        <f t="shared" si="4"/>
        <v>2.6523985239852395</v>
      </c>
      <c r="W60" s="9">
        <f t="shared" si="5"/>
        <v>5.7525773195876289</v>
      </c>
      <c r="AA60" t="s">
        <v>18</v>
      </c>
      <c r="AB60" t="s">
        <v>1</v>
      </c>
      <c r="AC60">
        <v>51</v>
      </c>
      <c r="AD60">
        <v>226</v>
      </c>
      <c r="AE60">
        <v>218</v>
      </c>
      <c r="AG60">
        <v>5.4</v>
      </c>
      <c r="AH60">
        <v>50</v>
      </c>
      <c r="AI60">
        <v>139.4</v>
      </c>
      <c r="AJ60" s="9">
        <f t="shared" si="52"/>
        <v>5.413846153846154</v>
      </c>
      <c r="AK60" s="9">
        <f t="shared" si="43"/>
        <v>49.953505535055349</v>
      </c>
      <c r="AL60" s="9">
        <f t="shared" si="44"/>
        <v>139.34020618556701</v>
      </c>
      <c r="AM60" s="3">
        <f t="shared" si="45"/>
        <v>0.96114656134040566</v>
      </c>
      <c r="AN60" s="3">
        <f t="shared" si="46"/>
        <v>0.6414997013243291</v>
      </c>
      <c r="AO60" s="3"/>
      <c r="AP60">
        <v>4</v>
      </c>
      <c r="AQ60">
        <v>10</v>
      </c>
      <c r="AR60">
        <v>11</v>
      </c>
      <c r="AS60">
        <v>0.4</v>
      </c>
      <c r="AT60">
        <v>2.2000000000000002</v>
      </c>
      <c r="AU60">
        <v>7</v>
      </c>
      <c r="AV60" s="9">
        <f t="shared" si="47"/>
        <v>0.42461538461538462</v>
      </c>
      <c r="AW60" s="9">
        <f t="shared" si="48"/>
        <v>2.2103321033210332</v>
      </c>
      <c r="AX60" s="9">
        <f t="shared" si="49"/>
        <v>7.0309278350515454</v>
      </c>
      <c r="AY60" s="3">
        <f t="shared" si="50"/>
        <v>0.93960748928490867</v>
      </c>
      <c r="AZ60" s="3">
        <f t="shared" si="51"/>
        <v>0.68562725216694975</v>
      </c>
    </row>
    <row r="61" spans="1:52" x14ac:dyDescent="0.25">
      <c r="A61" t="s">
        <v>19</v>
      </c>
      <c r="B61" t="s">
        <v>73</v>
      </c>
      <c r="C61">
        <v>3</v>
      </c>
      <c r="D61">
        <v>10</v>
      </c>
      <c r="E61">
        <v>11</v>
      </c>
      <c r="F61">
        <v>0.3</v>
      </c>
      <c r="G61">
        <v>2.2999999999999998</v>
      </c>
      <c r="H61">
        <v>7.1</v>
      </c>
      <c r="I61" s="2" t="s">
        <v>19</v>
      </c>
      <c r="J61" t="s">
        <v>73</v>
      </c>
      <c r="K61">
        <v>132</v>
      </c>
      <c r="L61">
        <v>274</v>
      </c>
      <c r="M61">
        <v>113</v>
      </c>
      <c r="N61">
        <v>13.7</v>
      </c>
      <c r="O61">
        <v>63.8</v>
      </c>
      <c r="P61">
        <v>72.7</v>
      </c>
      <c r="Q61" s="1">
        <f t="shared" si="57"/>
        <v>963503.64963503659</v>
      </c>
      <c r="R61" s="1">
        <f t="shared" si="57"/>
        <v>429467.08463949844</v>
      </c>
      <c r="S61" s="1">
        <f t="shared" si="57"/>
        <v>155433.28748280604</v>
      </c>
      <c r="T61" s="1">
        <f t="shared" si="42"/>
        <v>1548404.021757341</v>
      </c>
      <c r="U61" s="9">
        <f t="shared" si="3"/>
        <v>0.31136363636363634</v>
      </c>
      <c r="V61" s="9">
        <f t="shared" si="4"/>
        <v>2.3284671532846715</v>
      </c>
      <c r="W61" s="9">
        <f t="shared" si="5"/>
        <v>7.0769911504424785</v>
      </c>
      <c r="AA61" t="s">
        <v>19</v>
      </c>
      <c r="AB61" t="s">
        <v>1</v>
      </c>
      <c r="AC61">
        <v>54</v>
      </c>
      <c r="AD61">
        <v>205</v>
      </c>
      <c r="AE61">
        <v>220</v>
      </c>
      <c r="AG61">
        <v>5.6</v>
      </c>
      <c r="AH61">
        <v>47.7</v>
      </c>
      <c r="AI61">
        <v>141.6</v>
      </c>
      <c r="AJ61" s="9">
        <f t="shared" si="52"/>
        <v>5.6045454545454545</v>
      </c>
      <c r="AK61" s="9">
        <f t="shared" si="43"/>
        <v>47.73357664233577</v>
      </c>
      <c r="AL61" s="9">
        <f t="shared" si="44"/>
        <v>141.53982300884957</v>
      </c>
      <c r="AM61" s="3">
        <f t="shared" si="45"/>
        <v>0.96040304887059924</v>
      </c>
      <c r="AN61" s="3">
        <f t="shared" si="46"/>
        <v>0.66275514814405767</v>
      </c>
      <c r="AO61" s="3"/>
      <c r="AP61">
        <v>2</v>
      </c>
      <c r="AQ61">
        <v>6</v>
      </c>
      <c r="AR61">
        <v>5</v>
      </c>
      <c r="AS61">
        <v>0.2</v>
      </c>
      <c r="AT61">
        <v>1.4</v>
      </c>
      <c r="AU61">
        <v>3.2</v>
      </c>
      <c r="AV61" s="9">
        <f t="shared" si="47"/>
        <v>0.20757575757575758</v>
      </c>
      <c r="AW61" s="9">
        <f t="shared" si="48"/>
        <v>1.397080291970803</v>
      </c>
      <c r="AX61" s="9">
        <f t="shared" si="49"/>
        <v>3.2168141592920354</v>
      </c>
      <c r="AY61" s="3">
        <f t="shared" si="50"/>
        <v>0.93547163519653198</v>
      </c>
      <c r="AZ61" s="3">
        <f t="shared" si="51"/>
        <v>0.56569443468307912</v>
      </c>
    </row>
    <row r="62" spans="1:52" x14ac:dyDescent="0.25">
      <c r="A62" t="s">
        <v>20</v>
      </c>
      <c r="B62" t="s">
        <v>73</v>
      </c>
      <c r="C62">
        <v>6</v>
      </c>
      <c r="D62">
        <v>9</v>
      </c>
      <c r="E62">
        <v>10</v>
      </c>
      <c r="F62">
        <v>0.6</v>
      </c>
      <c r="G62">
        <v>2.1</v>
      </c>
      <c r="H62">
        <v>6.5</v>
      </c>
      <c r="I62" s="2" t="s">
        <v>20</v>
      </c>
      <c r="J62" t="s">
        <v>73</v>
      </c>
      <c r="K62">
        <v>146</v>
      </c>
      <c r="L62">
        <v>274</v>
      </c>
      <c r="M62">
        <v>130</v>
      </c>
      <c r="N62">
        <v>15</v>
      </c>
      <c r="O62">
        <v>65.400000000000006</v>
      </c>
      <c r="P62">
        <v>83.9</v>
      </c>
      <c r="Q62" s="1">
        <f t="shared" ref="Q62:S65" si="58">K62*100000/(N62+0.0000000001)</f>
        <v>973333.3333268445</v>
      </c>
      <c r="R62" s="1">
        <f t="shared" si="58"/>
        <v>418960.24464767741</v>
      </c>
      <c r="S62" s="1">
        <f t="shared" si="58"/>
        <v>154946.36471971995</v>
      </c>
      <c r="T62" s="1">
        <f t="shared" si="42"/>
        <v>1547239.9426942419</v>
      </c>
      <c r="U62" s="9">
        <f t="shared" si="3"/>
        <v>0.61643835616849307</v>
      </c>
      <c r="V62" s="9">
        <f t="shared" si="4"/>
        <v>2.1481751824850366</v>
      </c>
      <c r="W62" s="9">
        <f t="shared" si="5"/>
        <v>6.4538461538538465</v>
      </c>
      <c r="AA62" t="s">
        <v>20</v>
      </c>
      <c r="AB62" t="s">
        <v>1</v>
      </c>
      <c r="AC62">
        <v>57</v>
      </c>
      <c r="AD62">
        <v>204</v>
      </c>
      <c r="AE62">
        <v>225</v>
      </c>
      <c r="AG62">
        <v>5.9</v>
      </c>
      <c r="AH62">
        <v>48.7</v>
      </c>
      <c r="AI62">
        <v>145.19999999999999</v>
      </c>
      <c r="AJ62" s="9">
        <f t="shared" si="52"/>
        <v>5.8561643836006843</v>
      </c>
      <c r="AK62" s="9">
        <f t="shared" si="43"/>
        <v>48.691970802994163</v>
      </c>
      <c r="AL62" s="9">
        <f t="shared" si="44"/>
        <v>145.21153846171157</v>
      </c>
      <c r="AM62" s="3">
        <f t="shared" si="45"/>
        <v>0.95967149411377661</v>
      </c>
      <c r="AN62" s="3">
        <f t="shared" si="46"/>
        <v>0.66468249480165831</v>
      </c>
      <c r="AO62" s="3"/>
      <c r="AP62">
        <v>2</v>
      </c>
      <c r="AQ62">
        <v>11</v>
      </c>
      <c r="AR62">
        <v>7</v>
      </c>
      <c r="AS62">
        <v>0.2</v>
      </c>
      <c r="AT62">
        <v>2.6</v>
      </c>
      <c r="AU62">
        <v>4.5</v>
      </c>
      <c r="AV62" s="9">
        <f t="shared" si="47"/>
        <v>0.20547945205616436</v>
      </c>
      <c r="AW62" s="9">
        <f t="shared" si="48"/>
        <v>2.6255474452594894</v>
      </c>
      <c r="AX62" s="9">
        <f t="shared" si="49"/>
        <v>4.5176923076976934</v>
      </c>
      <c r="AY62" s="3">
        <f t="shared" si="50"/>
        <v>0.95451672268471055</v>
      </c>
      <c r="AZ62" s="3">
        <f t="shared" si="51"/>
        <v>0.41882995422556324</v>
      </c>
    </row>
    <row r="63" spans="1:52" x14ac:dyDescent="0.25">
      <c r="A63" t="s">
        <v>21</v>
      </c>
      <c r="B63" t="s">
        <v>73</v>
      </c>
      <c r="C63">
        <v>2</v>
      </c>
      <c r="D63">
        <v>9</v>
      </c>
      <c r="E63">
        <v>6</v>
      </c>
      <c r="F63">
        <v>0.2</v>
      </c>
      <c r="G63">
        <v>2.2000000000000002</v>
      </c>
      <c r="H63">
        <v>3.9</v>
      </c>
      <c r="I63" s="2" t="s">
        <v>21</v>
      </c>
      <c r="J63" t="s">
        <v>73</v>
      </c>
      <c r="K63">
        <v>110</v>
      </c>
      <c r="L63">
        <v>213</v>
      </c>
      <c r="M63">
        <v>96</v>
      </c>
      <c r="N63">
        <v>11.2</v>
      </c>
      <c r="O63">
        <v>51.4</v>
      </c>
      <c r="P63">
        <v>62.1</v>
      </c>
      <c r="Q63" s="1">
        <f t="shared" si="58"/>
        <v>982142.85713408806</v>
      </c>
      <c r="R63" s="1">
        <f t="shared" si="58"/>
        <v>414396.88715872687</v>
      </c>
      <c r="S63" s="1">
        <f t="shared" si="58"/>
        <v>154589.37198042739</v>
      </c>
      <c r="T63" s="1">
        <f t="shared" si="42"/>
        <v>1551129.1162732423</v>
      </c>
      <c r="U63" s="9">
        <f t="shared" si="3"/>
        <v>0.20363636363818183</v>
      </c>
      <c r="V63" s="9">
        <f t="shared" si="4"/>
        <v>2.1718309859197182</v>
      </c>
      <c r="W63" s="9">
        <f t="shared" si="5"/>
        <v>3.8812500000062498</v>
      </c>
      <c r="AA63" t="s">
        <v>21</v>
      </c>
      <c r="AB63" t="s">
        <v>1</v>
      </c>
      <c r="AC63">
        <v>62</v>
      </c>
      <c r="AD63">
        <v>198</v>
      </c>
      <c r="AE63">
        <v>217</v>
      </c>
      <c r="AG63">
        <v>6.3</v>
      </c>
      <c r="AH63">
        <v>47.8</v>
      </c>
      <c r="AI63">
        <v>140.4</v>
      </c>
      <c r="AJ63" s="9">
        <f t="shared" si="52"/>
        <v>6.3127272727836363</v>
      </c>
      <c r="AK63" s="9">
        <f t="shared" si="43"/>
        <v>47.780281690233799</v>
      </c>
      <c r="AL63" s="9">
        <f t="shared" si="44"/>
        <v>140.37187500022605</v>
      </c>
      <c r="AM63" s="3">
        <f t="shared" si="45"/>
        <v>0.95502854633256506</v>
      </c>
      <c r="AN63" s="3">
        <f t="shared" si="46"/>
        <v>0.65961641753266553</v>
      </c>
      <c r="AO63" s="3"/>
      <c r="AP63">
        <v>4</v>
      </c>
      <c r="AQ63">
        <v>7</v>
      </c>
      <c r="AR63">
        <v>9</v>
      </c>
      <c r="AS63">
        <v>0.4</v>
      </c>
      <c r="AT63">
        <v>1.7</v>
      </c>
      <c r="AU63">
        <v>5.8</v>
      </c>
      <c r="AV63" s="9">
        <f t="shared" si="47"/>
        <v>0.40727272727636366</v>
      </c>
      <c r="AW63" s="9">
        <f t="shared" si="48"/>
        <v>1.6892018779375586</v>
      </c>
      <c r="AX63" s="9">
        <f t="shared" si="49"/>
        <v>5.8218750000093751</v>
      </c>
      <c r="AY63" s="3">
        <f t="shared" si="50"/>
        <v>0.93004440540621225</v>
      </c>
      <c r="AZ63" s="3">
        <f t="shared" si="51"/>
        <v>0.70985260282386031</v>
      </c>
    </row>
    <row r="64" spans="1:52" x14ac:dyDescent="0.25">
      <c r="A64" t="s">
        <v>22</v>
      </c>
      <c r="B64" t="s">
        <v>73</v>
      </c>
      <c r="C64">
        <v>3</v>
      </c>
      <c r="D64">
        <v>14</v>
      </c>
      <c r="E64">
        <v>7</v>
      </c>
      <c r="F64">
        <v>0.3</v>
      </c>
      <c r="G64">
        <v>3.5</v>
      </c>
      <c r="H64">
        <v>4.5999999999999996</v>
      </c>
      <c r="I64" s="2" t="s">
        <v>22</v>
      </c>
      <c r="J64" t="s">
        <v>73</v>
      </c>
      <c r="K64">
        <v>93</v>
      </c>
      <c r="L64">
        <v>168</v>
      </c>
      <c r="M64">
        <v>87</v>
      </c>
      <c r="N64">
        <v>9.3000000000000007</v>
      </c>
      <c r="O64">
        <v>42.4</v>
      </c>
      <c r="P64">
        <v>56.7</v>
      </c>
      <c r="Q64" s="1">
        <f t="shared" si="58"/>
        <v>999999.99998924718</v>
      </c>
      <c r="R64" s="1">
        <f t="shared" si="58"/>
        <v>396226.41509340511</v>
      </c>
      <c r="S64" s="1">
        <f t="shared" si="58"/>
        <v>153439.15343888281</v>
      </c>
      <c r="T64" s="1">
        <f t="shared" si="42"/>
        <v>1549665.5685215353</v>
      </c>
      <c r="U64" s="9">
        <f t="shared" si="3"/>
        <v>0.30000000000322585</v>
      </c>
      <c r="V64" s="9">
        <f t="shared" si="4"/>
        <v>3.533333333341667</v>
      </c>
      <c r="W64" s="9">
        <f t="shared" si="5"/>
        <v>4.5620689655252873</v>
      </c>
      <c r="AA64" t="s">
        <v>22</v>
      </c>
      <c r="AB64" t="s">
        <v>1</v>
      </c>
      <c r="AC64">
        <v>65</v>
      </c>
      <c r="AD64">
        <v>207</v>
      </c>
      <c r="AE64">
        <v>239</v>
      </c>
      <c r="AG64">
        <v>6.5</v>
      </c>
      <c r="AH64">
        <v>52.2</v>
      </c>
      <c r="AI64">
        <v>155.69999999999999</v>
      </c>
      <c r="AJ64" s="9">
        <f t="shared" si="52"/>
        <v>6.5000000000698943</v>
      </c>
      <c r="AK64" s="9">
        <f t="shared" si="43"/>
        <v>52.242857142980355</v>
      </c>
      <c r="AL64" s="9">
        <f t="shared" si="44"/>
        <v>155.76206896579197</v>
      </c>
      <c r="AM64" s="3">
        <f t="shared" si="45"/>
        <v>0.95826968630278397</v>
      </c>
      <c r="AN64" s="3">
        <f t="shared" si="46"/>
        <v>0.66459833584738925</v>
      </c>
      <c r="AO64" s="3"/>
      <c r="AP64">
        <v>4</v>
      </c>
      <c r="AQ64">
        <v>9</v>
      </c>
      <c r="AR64">
        <v>4</v>
      </c>
      <c r="AS64">
        <v>0.4</v>
      </c>
      <c r="AT64">
        <v>2.2999999999999998</v>
      </c>
      <c r="AU64">
        <v>2.6</v>
      </c>
      <c r="AV64" s="9">
        <f t="shared" si="47"/>
        <v>0.40000000000430114</v>
      </c>
      <c r="AW64" s="9">
        <f t="shared" si="48"/>
        <v>2.2714285714339284</v>
      </c>
      <c r="AX64" s="9">
        <f t="shared" si="49"/>
        <v>2.6068965517287359</v>
      </c>
      <c r="AY64" s="3">
        <f t="shared" si="50"/>
        <v>0.84656084655946728</v>
      </c>
      <c r="AZ64" s="3">
        <f t="shared" si="51"/>
        <v>0.12868480725571774</v>
      </c>
    </row>
    <row r="65" spans="1:52" x14ac:dyDescent="0.25">
      <c r="A65" t="s">
        <v>23</v>
      </c>
      <c r="B65" t="s">
        <v>73</v>
      </c>
      <c r="C65">
        <v>2</v>
      </c>
      <c r="D65">
        <v>8</v>
      </c>
      <c r="E65">
        <v>8</v>
      </c>
      <c r="F65">
        <v>0.2</v>
      </c>
      <c r="G65">
        <v>2.1</v>
      </c>
      <c r="H65">
        <v>5.2</v>
      </c>
      <c r="I65" s="2" t="s">
        <v>23</v>
      </c>
      <c r="J65" t="s">
        <v>73</v>
      </c>
      <c r="K65">
        <v>111</v>
      </c>
      <c r="L65">
        <v>218</v>
      </c>
      <c r="M65">
        <v>129</v>
      </c>
      <c r="N65">
        <v>10.9</v>
      </c>
      <c r="O65">
        <v>57.2</v>
      </c>
      <c r="P65">
        <v>84.6</v>
      </c>
      <c r="Q65" s="1">
        <f t="shared" si="58"/>
        <v>1018348.6238438684</v>
      </c>
      <c r="R65" s="1">
        <f t="shared" si="58"/>
        <v>381118.88111821481</v>
      </c>
      <c r="S65" s="1">
        <f t="shared" si="58"/>
        <v>152482.26950336585</v>
      </c>
      <c r="T65" s="1">
        <f t="shared" si="42"/>
        <v>1551949.7744654492</v>
      </c>
      <c r="U65" s="9">
        <f t="shared" si="3"/>
        <v>0.19639639639819817</v>
      </c>
      <c r="V65" s="9">
        <f t="shared" si="4"/>
        <v>2.0990825688110091</v>
      </c>
      <c r="W65" s="9">
        <f t="shared" si="5"/>
        <v>5.2465116279131783</v>
      </c>
      <c r="AA65" t="s">
        <v>23</v>
      </c>
      <c r="AB65" t="s">
        <v>1</v>
      </c>
      <c r="AC65">
        <v>67</v>
      </c>
      <c r="AD65">
        <v>194</v>
      </c>
      <c r="AE65">
        <v>241</v>
      </c>
      <c r="AG65">
        <v>6.6</v>
      </c>
      <c r="AH65">
        <v>50.9</v>
      </c>
      <c r="AI65">
        <v>158.1</v>
      </c>
      <c r="AJ65" s="9">
        <f t="shared" si="52"/>
        <v>6.57927927933964</v>
      </c>
      <c r="AK65" s="9">
        <f t="shared" si="43"/>
        <v>50.902752293666978</v>
      </c>
      <c r="AL65" s="9">
        <f t="shared" si="44"/>
        <v>158.05116279088452</v>
      </c>
      <c r="AM65" s="3">
        <f t="shared" si="45"/>
        <v>0.9583724715265487</v>
      </c>
      <c r="AN65" s="3">
        <f t="shared" si="46"/>
        <v>0.6779349712155186</v>
      </c>
      <c r="AO65" s="3"/>
      <c r="AP65">
        <v>7</v>
      </c>
      <c r="AQ65">
        <v>4</v>
      </c>
      <c r="AR65">
        <v>7</v>
      </c>
      <c r="AS65">
        <v>0.7</v>
      </c>
      <c r="AT65">
        <v>1</v>
      </c>
      <c r="AU65">
        <v>4.5999999999999996</v>
      </c>
      <c r="AV65" s="9">
        <f t="shared" si="47"/>
        <v>0.68738738739369365</v>
      </c>
      <c r="AW65" s="9">
        <f t="shared" si="48"/>
        <v>1.0495412844055045</v>
      </c>
      <c r="AX65" s="9">
        <f t="shared" si="49"/>
        <v>4.5906976744240309</v>
      </c>
      <c r="AY65" s="3">
        <f t="shared" si="50"/>
        <v>0.8502651587746004</v>
      </c>
      <c r="AZ65" s="3">
        <f t="shared" si="51"/>
        <v>0.77137651859481582</v>
      </c>
    </row>
    <row r="66" spans="1:52" x14ac:dyDescent="0.25">
      <c r="A66" t="s">
        <v>24</v>
      </c>
      <c r="B66" t="s">
        <v>73</v>
      </c>
      <c r="C66">
        <v>2</v>
      </c>
      <c r="D66">
        <v>10</v>
      </c>
      <c r="E66">
        <v>17</v>
      </c>
      <c r="F66">
        <v>0.2</v>
      </c>
      <c r="G66">
        <v>2.7</v>
      </c>
      <c r="H66">
        <v>11.2</v>
      </c>
      <c r="I66" s="2" t="s">
        <v>24</v>
      </c>
      <c r="J66" t="s">
        <v>73</v>
      </c>
      <c r="K66">
        <v>149</v>
      </c>
      <c r="L66">
        <v>224</v>
      </c>
      <c r="M66">
        <v>135</v>
      </c>
      <c r="N66">
        <v>14.5</v>
      </c>
      <c r="O66">
        <v>61</v>
      </c>
      <c r="P66">
        <v>89.2</v>
      </c>
      <c r="Q66" s="1">
        <f>K66*100000/N66</f>
        <v>1027586.2068965518</v>
      </c>
      <c r="R66" s="1">
        <f>L66*100000/O66</f>
        <v>367213.11475409835</v>
      </c>
      <c r="S66" s="1">
        <f>M66*100000/P66</f>
        <v>151345.29147982062</v>
      </c>
      <c r="T66" s="1">
        <f t="shared" si="42"/>
        <v>1546144.6131304707</v>
      </c>
      <c r="U66" s="9">
        <f t="shared" si="3"/>
        <v>0.19463087248322147</v>
      </c>
      <c r="V66" s="9">
        <f t="shared" si="4"/>
        <v>2.723214285714286</v>
      </c>
      <c r="W66" s="9">
        <f t="shared" si="5"/>
        <v>11.232592592592592</v>
      </c>
      <c r="AA66" t="s">
        <v>24</v>
      </c>
      <c r="AB66" t="s">
        <v>1</v>
      </c>
      <c r="AC66">
        <v>63</v>
      </c>
      <c r="AD66">
        <v>185</v>
      </c>
      <c r="AE66">
        <v>224</v>
      </c>
      <c r="AG66">
        <v>6.1</v>
      </c>
      <c r="AH66">
        <v>50.3</v>
      </c>
      <c r="AI66">
        <v>148</v>
      </c>
      <c r="AJ66" s="9">
        <f t="shared" si="52"/>
        <v>6.1308724832214763</v>
      </c>
      <c r="AK66" s="9">
        <f t="shared" si="43"/>
        <v>50.379464285714285</v>
      </c>
      <c r="AL66" s="9">
        <f t="shared" si="44"/>
        <v>148.00592592592594</v>
      </c>
      <c r="AM66" s="3">
        <f t="shared" si="45"/>
        <v>0.95857684450898362</v>
      </c>
      <c r="AN66" s="3">
        <f t="shared" si="46"/>
        <v>0.65961184344113211</v>
      </c>
      <c r="AO66" s="3"/>
      <c r="AP66">
        <v>1</v>
      </c>
      <c r="AQ66">
        <v>6</v>
      </c>
      <c r="AR66">
        <v>7</v>
      </c>
      <c r="AS66">
        <v>0.1</v>
      </c>
      <c r="AT66">
        <v>1.6</v>
      </c>
      <c r="AU66">
        <v>4.5999999999999996</v>
      </c>
      <c r="AV66" s="9">
        <f t="shared" si="47"/>
        <v>9.7315436241610737E-2</v>
      </c>
      <c r="AW66" s="9">
        <f t="shared" si="48"/>
        <v>1.6339285714285714</v>
      </c>
      <c r="AX66" s="9">
        <f t="shared" si="49"/>
        <v>4.6251851851851855</v>
      </c>
      <c r="AY66" s="3">
        <f t="shared" si="50"/>
        <v>0.97895966705218218</v>
      </c>
      <c r="AZ66" s="3">
        <f t="shared" si="51"/>
        <v>0.64673229157133716</v>
      </c>
    </row>
    <row r="68" spans="1:52" x14ac:dyDescent="0.25">
      <c r="A68" t="s">
        <v>49</v>
      </c>
      <c r="B68" t="s">
        <v>50</v>
      </c>
      <c r="C68">
        <f>SUM(C37:C67)</f>
        <v>82</v>
      </c>
      <c r="D68">
        <f t="shared" ref="D68" si="59">SUM(D37:D67)</f>
        <v>298</v>
      </c>
      <c r="E68">
        <f t="shared" ref="E68" si="60">SUM(E37:E67)</f>
        <v>254</v>
      </c>
      <c r="Q68" s="1">
        <f>AVERAGE(Q37:Q66)</f>
        <v>815105.71690673567</v>
      </c>
      <c r="R68" s="1">
        <f t="shared" ref="R68:S68" si="61">AVERAGE(R37:R66)</f>
        <v>576344.12309907563</v>
      </c>
      <c r="S68" s="1">
        <f t="shared" si="61"/>
        <v>157272.79519750254</v>
      </c>
      <c r="T68" s="1">
        <f>SUM(Q68:S68)</f>
        <v>1548722.6352033138</v>
      </c>
    </row>
    <row r="69" spans="1:52" x14ac:dyDescent="0.25">
      <c r="Q69" s="3">
        <f>Q68/T68</f>
        <v>0.5263083901396779</v>
      </c>
      <c r="R69" s="3">
        <f>R68/T68</f>
        <v>0.37214160237505284</v>
      </c>
      <c r="S69" s="3">
        <f>S68/T68</f>
        <v>0.10155000748526932</v>
      </c>
      <c r="U69" s="9">
        <f>C68/Q68*100000</f>
        <v>10.060044764645227</v>
      </c>
      <c r="V69" s="9">
        <f>D68/R68*100000</f>
        <v>51.705220554278597</v>
      </c>
      <c r="W69" s="9">
        <f>E68/S68*100000</f>
        <v>161.50282042169329</v>
      </c>
      <c r="X69" s="3">
        <f t="shared" ref="X69" si="62">1-U69/W69</f>
        <v>0.93770978897843482</v>
      </c>
      <c r="Y69" s="3">
        <f t="shared" ref="Y69" si="63">1-V69/W69</f>
        <v>0.67984942665847414</v>
      </c>
      <c r="AA69" t="s">
        <v>49</v>
      </c>
      <c r="AB69" t="s">
        <v>50</v>
      </c>
      <c r="AC69">
        <f t="shared" ref="AC69:AD69" si="64">SUM(AC37:AC66)</f>
        <v>1278</v>
      </c>
      <c r="AD69">
        <f t="shared" si="64"/>
        <v>6251</v>
      </c>
      <c r="AE69">
        <f>SUM(AE37:AE66)</f>
        <v>5573</v>
      </c>
      <c r="AJ69" s="9">
        <f>AC69/Q68*100000</f>
        <v>156.78947816117804</v>
      </c>
      <c r="AK69" s="9">
        <f t="shared" ref="AK69" si="65">AD69/R68*100000</f>
        <v>1084.5950794791797</v>
      </c>
      <c r="AL69" s="9">
        <f t="shared" ref="AL69" si="66">AE69/S68*100000</f>
        <v>3543.524481142113</v>
      </c>
      <c r="AM69" s="3">
        <f t="shared" ref="AM69" si="67">1-AJ69/AL69</f>
        <v>0.9557532397488494</v>
      </c>
      <c r="AN69" s="3">
        <f t="shared" ref="AN69" si="68">1-AK69/AL69</f>
        <v>0.69392194543845687</v>
      </c>
      <c r="AO69" s="3"/>
      <c r="AP69">
        <f>SUM(AP38:AP68)</f>
        <v>82</v>
      </c>
      <c r="AQ69">
        <f t="shared" ref="AQ69" si="69">SUM(AQ38:AQ68)</f>
        <v>244</v>
      </c>
      <c r="AR69">
        <f t="shared" ref="AR69" si="70">SUM(AR38:AR68)</f>
        <v>215</v>
      </c>
      <c r="AV69" s="9">
        <f>AP69/Q68*100000</f>
        <v>10.060044764645227</v>
      </c>
      <c r="AW69" s="9">
        <f t="shared" ref="AW69" si="71">AQ69/R68*100000</f>
        <v>42.335818171959659</v>
      </c>
      <c r="AX69" s="9">
        <f t="shared" ref="AX69" si="72">AR69/S68*100000</f>
        <v>136.70514327033095</v>
      </c>
      <c r="AY69" s="3">
        <f t="shared" ref="AY69" si="73">1-AV69/AX69</f>
        <v>0.92641063442103455</v>
      </c>
      <c r="AZ69" s="3">
        <f t="shared" ref="AZ69" si="74">1-AW69/AX69</f>
        <v>0.69031290879640383</v>
      </c>
    </row>
    <row r="70" spans="1:52" x14ac:dyDescent="0.25">
      <c r="B70" t="s">
        <v>58</v>
      </c>
      <c r="J70" t="s">
        <v>58</v>
      </c>
      <c r="Q70" s="3"/>
      <c r="R70" s="3"/>
      <c r="S70" s="3"/>
    </row>
    <row r="71" spans="1:52" x14ac:dyDescent="0.25">
      <c r="A71" t="s">
        <v>25</v>
      </c>
      <c r="B71" t="s">
        <v>74</v>
      </c>
      <c r="C71">
        <v>0</v>
      </c>
      <c r="D71">
        <v>0</v>
      </c>
      <c r="E71">
        <v>2</v>
      </c>
      <c r="F71">
        <v>0</v>
      </c>
      <c r="G71">
        <v>0</v>
      </c>
      <c r="H71">
        <v>0.1</v>
      </c>
      <c r="I71" s="2" t="s">
        <v>25</v>
      </c>
      <c r="J71" t="s">
        <v>74</v>
      </c>
      <c r="K71">
        <v>241</v>
      </c>
      <c r="L71">
        <v>3959</v>
      </c>
      <c r="M71">
        <v>6194</v>
      </c>
      <c r="N71">
        <v>32.799999999999997</v>
      </c>
      <c r="O71">
        <v>111.5</v>
      </c>
      <c r="P71">
        <v>192.9</v>
      </c>
      <c r="Q71" s="1">
        <f t="shared" ref="Q71:S75" si="75">K71*100000/(N71+0.0000000001)</f>
        <v>734756.09755873552</v>
      </c>
      <c r="R71" s="1">
        <f t="shared" si="75"/>
        <v>3550672.645736726</v>
      </c>
      <c r="S71" s="1">
        <f t="shared" si="75"/>
        <v>3210990.1503352975</v>
      </c>
      <c r="T71" s="1">
        <f t="shared" ref="T71:T100" si="76">SUM(Q71:S71)</f>
        <v>7496418.8936307598</v>
      </c>
      <c r="U71" s="9">
        <f t="shared" si="3"/>
        <v>0</v>
      </c>
      <c r="V71" s="9">
        <f t="shared" si="4"/>
        <v>0</v>
      </c>
      <c r="W71" s="9">
        <f t="shared" si="5"/>
        <v>6.2286083306457865E-2</v>
      </c>
      <c r="AA71" t="s">
        <v>25</v>
      </c>
      <c r="AB71" t="s">
        <v>3</v>
      </c>
      <c r="AC71">
        <v>7</v>
      </c>
      <c r="AD71">
        <v>48</v>
      </c>
      <c r="AE71">
        <v>155</v>
      </c>
      <c r="AG71">
        <v>1</v>
      </c>
      <c r="AH71">
        <v>1.4</v>
      </c>
      <c r="AI71">
        <v>4.8</v>
      </c>
      <c r="AJ71" s="9">
        <f t="shared" ref="AJ71:AJ78" si="77">AC71/Q71*100000</f>
        <v>0.95269709543858916</v>
      </c>
      <c r="AK71" s="9">
        <f t="shared" ref="AK71:AK100" si="78">AD71/R71*100000</f>
        <v>1.3518565294278353</v>
      </c>
      <c r="AL71" s="9">
        <f t="shared" ref="AL71:AL100" si="79">AE71/S71*100000</f>
        <v>4.8271714562504853</v>
      </c>
      <c r="AM71" s="3">
        <f>1-AJ71/AL71</f>
        <v>0.80263864582539635</v>
      </c>
      <c r="AN71" s="3">
        <f>1-AK71/AL71</f>
        <v>0.71994851608650079</v>
      </c>
      <c r="AO71" s="3"/>
      <c r="AP71">
        <v>0</v>
      </c>
      <c r="AQ71">
        <v>2</v>
      </c>
      <c r="AR71">
        <v>6</v>
      </c>
      <c r="AS71">
        <v>0</v>
      </c>
      <c r="AT71">
        <v>0.1</v>
      </c>
      <c r="AU71">
        <v>0.2</v>
      </c>
      <c r="AV71" s="9">
        <f t="shared" ref="AV71:AV100" si="80">AP71/Q71*100000</f>
        <v>0</v>
      </c>
      <c r="AW71" s="9">
        <f t="shared" ref="AW71:AW100" si="81">AQ71/R71*100000</f>
        <v>5.6327355392826475E-2</v>
      </c>
      <c r="AX71" s="9">
        <f t="shared" ref="AX71:AX100" si="82">AR71/S71*100000</f>
        <v>0.18685824991937358</v>
      </c>
      <c r="AY71" s="3">
        <f t="shared" ref="AY71:AY100" si="83">1-AV71/AX71</f>
        <v>1</v>
      </c>
      <c r="AZ71" s="3">
        <f t="shared" ref="AZ71:AZ100" si="84">1-AW71/AX71</f>
        <v>0.69855569439866394</v>
      </c>
    </row>
    <row r="72" spans="1:52" x14ac:dyDescent="0.25">
      <c r="A72" t="s">
        <v>26</v>
      </c>
      <c r="B72" t="s">
        <v>74</v>
      </c>
      <c r="C72">
        <v>0</v>
      </c>
      <c r="D72">
        <v>2</v>
      </c>
      <c r="E72">
        <v>2</v>
      </c>
      <c r="F72">
        <v>0</v>
      </c>
      <c r="G72">
        <v>0.1</v>
      </c>
      <c r="H72">
        <v>0.1</v>
      </c>
      <c r="I72" s="2" t="s">
        <v>26</v>
      </c>
      <c r="J72" t="s">
        <v>74</v>
      </c>
      <c r="K72">
        <v>304</v>
      </c>
      <c r="L72">
        <v>3743</v>
      </c>
      <c r="M72">
        <v>6458</v>
      </c>
      <c r="N72">
        <v>36.9</v>
      </c>
      <c r="O72">
        <v>108</v>
      </c>
      <c r="P72">
        <v>202</v>
      </c>
      <c r="Q72" s="1">
        <f t="shared" si="75"/>
        <v>823848.23848015221</v>
      </c>
      <c r="R72" s="1">
        <f t="shared" si="75"/>
        <v>3465740.7407375318</v>
      </c>
      <c r="S72" s="1">
        <f t="shared" si="75"/>
        <v>3197029.7029687148</v>
      </c>
      <c r="T72" s="1">
        <f t="shared" si="76"/>
        <v>7486618.6821863987</v>
      </c>
      <c r="U72" s="9">
        <f t="shared" si="3"/>
        <v>0</v>
      </c>
      <c r="V72" s="9">
        <f t="shared" si="4"/>
        <v>5.7707721079401551E-2</v>
      </c>
      <c r="W72" s="9">
        <f t="shared" si="5"/>
        <v>6.2558067513192928E-2</v>
      </c>
      <c r="AA72" t="s">
        <v>26</v>
      </c>
      <c r="AB72" t="s">
        <v>3</v>
      </c>
      <c r="AC72">
        <v>7</v>
      </c>
      <c r="AD72">
        <v>50</v>
      </c>
      <c r="AE72">
        <v>149</v>
      </c>
      <c r="AG72">
        <v>0.8</v>
      </c>
      <c r="AH72">
        <v>1.4</v>
      </c>
      <c r="AI72">
        <v>4.7</v>
      </c>
      <c r="AJ72" s="9">
        <f t="shared" si="77"/>
        <v>0.84967105263388143</v>
      </c>
      <c r="AK72" s="9">
        <f t="shared" si="78"/>
        <v>1.4426930269850387</v>
      </c>
      <c r="AL72" s="9">
        <f t="shared" si="79"/>
        <v>4.6605760297328738</v>
      </c>
      <c r="AM72" s="3">
        <f t="shared" ref="AM72:AM100" si="85">1-AJ72/AL72</f>
        <v>0.81768969174340855</v>
      </c>
      <c r="AN72" s="3">
        <f t="shared" ref="AN72:AN100" si="86">1-AK72/AL72</f>
        <v>0.69044748593711325</v>
      </c>
      <c r="AO72" s="3"/>
      <c r="AP72">
        <v>0</v>
      </c>
      <c r="AQ72">
        <v>1</v>
      </c>
      <c r="AR72">
        <v>5</v>
      </c>
      <c r="AS72">
        <v>0</v>
      </c>
      <c r="AT72">
        <v>0</v>
      </c>
      <c r="AU72">
        <v>0.2</v>
      </c>
      <c r="AV72" s="9">
        <f t="shared" si="80"/>
        <v>0</v>
      </c>
      <c r="AW72" s="9">
        <f t="shared" si="81"/>
        <v>2.8853860539700776E-2</v>
      </c>
      <c r="AX72" s="9">
        <f t="shared" si="82"/>
        <v>0.15639516878298232</v>
      </c>
      <c r="AY72" s="3">
        <f t="shared" si="83"/>
        <v>1</v>
      </c>
      <c r="AZ72" s="3">
        <f t="shared" si="84"/>
        <v>0.81550670161851935</v>
      </c>
    </row>
    <row r="73" spans="1:52" x14ac:dyDescent="0.25">
      <c r="A73" t="s">
        <v>27</v>
      </c>
      <c r="B73" t="s">
        <v>74</v>
      </c>
      <c r="C73">
        <v>0</v>
      </c>
      <c r="D73">
        <v>0</v>
      </c>
      <c r="E73">
        <v>1</v>
      </c>
      <c r="F73">
        <v>0</v>
      </c>
      <c r="G73">
        <v>0</v>
      </c>
      <c r="H73">
        <v>0</v>
      </c>
      <c r="I73" s="2" t="s">
        <v>27</v>
      </c>
      <c r="J73" t="s">
        <v>74</v>
      </c>
      <c r="K73">
        <v>264</v>
      </c>
      <c r="L73">
        <v>3312</v>
      </c>
      <c r="M73">
        <v>5491</v>
      </c>
      <c r="N73">
        <v>30.1</v>
      </c>
      <c r="O73">
        <v>96.9</v>
      </c>
      <c r="P73">
        <v>172.1</v>
      </c>
      <c r="Q73" s="1">
        <f t="shared" si="75"/>
        <v>877076.41195721901</v>
      </c>
      <c r="R73" s="1">
        <f t="shared" si="75"/>
        <v>3417956.6563432217</v>
      </c>
      <c r="S73" s="1">
        <f t="shared" si="75"/>
        <v>3190586.8680980885</v>
      </c>
      <c r="T73" s="1">
        <f t="shared" si="76"/>
        <v>7485619.9363985294</v>
      </c>
      <c r="U73" s="9">
        <f t="shared" si="3"/>
        <v>0</v>
      </c>
      <c r="V73" s="9">
        <f t="shared" si="4"/>
        <v>0</v>
      </c>
      <c r="W73" s="9">
        <f t="shared" si="5"/>
        <v>3.1342196321271165E-2</v>
      </c>
      <c r="AA73" t="s">
        <v>27</v>
      </c>
      <c r="AB73" t="s">
        <v>3</v>
      </c>
      <c r="AC73">
        <v>7</v>
      </c>
      <c r="AD73">
        <v>49</v>
      </c>
      <c r="AE73">
        <v>161</v>
      </c>
      <c r="AG73">
        <v>0.8</v>
      </c>
      <c r="AH73">
        <v>1.4</v>
      </c>
      <c r="AI73">
        <v>5</v>
      </c>
      <c r="AJ73" s="9">
        <f t="shared" si="77"/>
        <v>0.79810606060871214</v>
      </c>
      <c r="AK73" s="9">
        <f t="shared" si="78"/>
        <v>1.4336050724652476</v>
      </c>
      <c r="AL73" s="9">
        <f t="shared" si="79"/>
        <v>5.0460936077246572</v>
      </c>
      <c r="AM73" s="3">
        <f t="shared" si="85"/>
        <v>0.84183684991753704</v>
      </c>
      <c r="AN73" s="3">
        <f t="shared" si="86"/>
        <v>0.71589804234494236</v>
      </c>
      <c r="AO73" s="3"/>
      <c r="AP73">
        <v>1</v>
      </c>
      <c r="AQ73">
        <v>3</v>
      </c>
      <c r="AR73">
        <v>7</v>
      </c>
      <c r="AS73">
        <v>0.1</v>
      </c>
      <c r="AT73">
        <v>0.1</v>
      </c>
      <c r="AU73">
        <v>0.2</v>
      </c>
      <c r="AV73" s="9">
        <f t="shared" si="80"/>
        <v>0.11401515151553029</v>
      </c>
      <c r="AW73" s="9">
        <f t="shared" si="81"/>
        <v>8.777173913052537E-2</v>
      </c>
      <c r="AX73" s="9">
        <f t="shared" si="82"/>
        <v>0.21939537424889818</v>
      </c>
      <c r="AY73" s="3">
        <f t="shared" si="83"/>
        <v>0.48032107830047888</v>
      </c>
      <c r="AZ73" s="3">
        <f t="shared" si="84"/>
        <v>0.59993805962859237</v>
      </c>
    </row>
    <row r="74" spans="1:52" x14ac:dyDescent="0.25">
      <c r="A74" t="s">
        <v>28</v>
      </c>
      <c r="B74" t="s">
        <v>74</v>
      </c>
      <c r="C74">
        <v>0</v>
      </c>
      <c r="D74">
        <v>0</v>
      </c>
      <c r="E74">
        <v>1</v>
      </c>
      <c r="F74">
        <v>0</v>
      </c>
      <c r="G74">
        <v>0</v>
      </c>
      <c r="H74">
        <v>0</v>
      </c>
      <c r="I74" s="2" t="s">
        <v>28</v>
      </c>
      <c r="J74" t="s">
        <v>74</v>
      </c>
      <c r="K74">
        <v>117</v>
      </c>
      <c r="L74">
        <v>1830</v>
      </c>
      <c r="M74">
        <v>2678</v>
      </c>
      <c r="N74">
        <v>12.9</v>
      </c>
      <c r="O74">
        <v>54</v>
      </c>
      <c r="P74">
        <v>84</v>
      </c>
      <c r="Q74" s="1">
        <f t="shared" si="75"/>
        <v>906976.74417901563</v>
      </c>
      <c r="R74" s="1">
        <f t="shared" si="75"/>
        <v>3388888.8888826133</v>
      </c>
      <c r="S74" s="1">
        <f t="shared" si="75"/>
        <v>3188095.2380914427</v>
      </c>
      <c r="T74" s="1">
        <f t="shared" si="76"/>
        <v>7483960.8711530715</v>
      </c>
      <c r="U74" s="9">
        <f t="shared" si="3"/>
        <v>0</v>
      </c>
      <c r="V74" s="9">
        <f t="shared" si="4"/>
        <v>0</v>
      </c>
      <c r="W74" s="9">
        <f t="shared" si="5"/>
        <v>3.1366691560903659E-2</v>
      </c>
      <c r="AA74" t="s">
        <v>28</v>
      </c>
      <c r="AB74" t="s">
        <v>3</v>
      </c>
      <c r="AC74">
        <v>8</v>
      </c>
      <c r="AD74">
        <v>52</v>
      </c>
      <c r="AE74">
        <v>165</v>
      </c>
      <c r="AG74">
        <v>0.9</v>
      </c>
      <c r="AH74">
        <v>1.5</v>
      </c>
      <c r="AI74">
        <v>5.2</v>
      </c>
      <c r="AJ74" s="9">
        <f t="shared" si="77"/>
        <v>0.88205128205811967</v>
      </c>
      <c r="AK74" s="9">
        <f t="shared" si="78"/>
        <v>1.5344262295110382</v>
      </c>
      <c r="AL74" s="9">
        <f t="shared" si="79"/>
        <v>5.1755041075491039</v>
      </c>
      <c r="AM74" s="3">
        <f t="shared" si="85"/>
        <v>0.8295719095707913</v>
      </c>
      <c r="AN74" s="3">
        <f t="shared" si="86"/>
        <v>0.70352139663595459</v>
      </c>
      <c r="AO74" s="3"/>
      <c r="AP74">
        <v>1</v>
      </c>
      <c r="AQ74">
        <v>1</v>
      </c>
      <c r="AR74">
        <v>9</v>
      </c>
      <c r="AS74">
        <v>0.1</v>
      </c>
      <c r="AT74">
        <v>0</v>
      </c>
      <c r="AU74">
        <v>0.3</v>
      </c>
      <c r="AV74" s="9">
        <f t="shared" si="80"/>
        <v>0.11025641025726496</v>
      </c>
      <c r="AW74" s="9">
        <f t="shared" si="81"/>
        <v>2.950819672136612E-2</v>
      </c>
      <c r="AX74" s="9">
        <f t="shared" si="82"/>
        <v>0.28230022404813293</v>
      </c>
      <c r="AY74" s="3">
        <f t="shared" si="83"/>
        <v>0.60943562609973001</v>
      </c>
      <c r="AZ74" s="3">
        <f t="shared" si="84"/>
        <v>0.89547228727549677</v>
      </c>
    </row>
    <row r="75" spans="1:52" x14ac:dyDescent="0.25">
      <c r="A75" t="s">
        <v>29</v>
      </c>
      <c r="B75" t="s">
        <v>74</v>
      </c>
      <c r="C75">
        <v>0</v>
      </c>
      <c r="D75">
        <v>0</v>
      </c>
      <c r="E75">
        <v>0</v>
      </c>
      <c r="F75">
        <v>0</v>
      </c>
      <c r="G75">
        <v>0</v>
      </c>
      <c r="H75">
        <v>0</v>
      </c>
      <c r="I75" s="2" t="s">
        <v>29</v>
      </c>
      <c r="J75" t="s">
        <v>74</v>
      </c>
      <c r="K75">
        <v>162</v>
      </c>
      <c r="L75">
        <v>2225</v>
      </c>
      <c r="M75">
        <v>3023</v>
      </c>
      <c r="N75">
        <v>16.600000000000001</v>
      </c>
      <c r="O75">
        <v>66.900000000000006</v>
      </c>
      <c r="P75">
        <v>95.2</v>
      </c>
      <c r="Q75" s="1">
        <f t="shared" si="75"/>
        <v>975903.6144519524</v>
      </c>
      <c r="R75" s="1">
        <f t="shared" si="75"/>
        <v>3325859.4917738023</v>
      </c>
      <c r="S75" s="1">
        <f t="shared" si="75"/>
        <v>3175420.1680638911</v>
      </c>
      <c r="T75" s="1">
        <f t="shared" si="76"/>
        <v>7477183.2742896462</v>
      </c>
      <c r="U75" s="9">
        <f t="shared" si="3"/>
        <v>0</v>
      </c>
      <c r="V75" s="9">
        <f t="shared" si="4"/>
        <v>0</v>
      </c>
      <c r="W75" s="9">
        <f t="shared" si="5"/>
        <v>0</v>
      </c>
      <c r="AA75" t="s">
        <v>29</v>
      </c>
      <c r="AB75" t="s">
        <v>3</v>
      </c>
      <c r="AC75">
        <v>9</v>
      </c>
      <c r="AD75">
        <v>53</v>
      </c>
      <c r="AE75">
        <v>167</v>
      </c>
      <c r="AG75">
        <v>0.9</v>
      </c>
      <c r="AH75">
        <v>1.6</v>
      </c>
      <c r="AI75">
        <v>5.3</v>
      </c>
      <c r="AJ75" s="9">
        <f t="shared" si="77"/>
        <v>0.92222222222777772</v>
      </c>
      <c r="AK75" s="9">
        <f t="shared" si="78"/>
        <v>1.5935730337102474</v>
      </c>
      <c r="AL75" s="9">
        <f t="shared" si="79"/>
        <v>5.2591465431745616</v>
      </c>
      <c r="AM75" s="3">
        <f t="shared" si="85"/>
        <v>0.82464412910785723</v>
      </c>
      <c r="AN75" s="3">
        <f t="shared" si="86"/>
        <v>0.69699018260321677</v>
      </c>
      <c r="AO75" s="3"/>
      <c r="AP75">
        <v>0</v>
      </c>
      <c r="AQ75">
        <v>2</v>
      </c>
      <c r="AR75">
        <v>6</v>
      </c>
      <c r="AS75">
        <v>0</v>
      </c>
      <c r="AT75">
        <v>0.1</v>
      </c>
      <c r="AU75">
        <v>0.2</v>
      </c>
      <c r="AV75" s="9">
        <f t="shared" si="80"/>
        <v>0</v>
      </c>
      <c r="AW75" s="9">
        <f t="shared" si="81"/>
        <v>6.0134831460764059E-2</v>
      </c>
      <c r="AX75" s="9">
        <f t="shared" si="82"/>
        <v>0.18895137280866689</v>
      </c>
      <c r="AY75" s="3">
        <f t="shared" si="83"/>
        <v>1</v>
      </c>
      <c r="AZ75" s="3">
        <f t="shared" si="84"/>
        <v>0.68174440562727801</v>
      </c>
    </row>
    <row r="76" spans="1:52" x14ac:dyDescent="0.25">
      <c r="A76" t="s">
        <v>30</v>
      </c>
      <c r="B76" t="s">
        <v>74</v>
      </c>
      <c r="C76">
        <v>0</v>
      </c>
      <c r="D76">
        <v>0</v>
      </c>
      <c r="E76">
        <v>0</v>
      </c>
      <c r="F76">
        <v>0</v>
      </c>
      <c r="G76">
        <v>0</v>
      </c>
      <c r="H76">
        <v>0</v>
      </c>
      <c r="I76" s="2" t="s">
        <v>30</v>
      </c>
      <c r="J76" t="s">
        <v>74</v>
      </c>
      <c r="K76">
        <v>300</v>
      </c>
      <c r="L76">
        <v>3244</v>
      </c>
      <c r="M76">
        <v>6385</v>
      </c>
      <c r="N76">
        <v>27.7</v>
      </c>
      <c r="O76">
        <v>100.5</v>
      </c>
      <c r="P76">
        <v>201.4</v>
      </c>
      <c r="Q76" s="1">
        <f>K76*100000/N76</f>
        <v>1083032.4909747292</v>
      </c>
      <c r="R76" s="1">
        <f>L76*100000/O76</f>
        <v>3227860.696517413</v>
      </c>
      <c r="S76" s="1">
        <f>M76*100000/P76</f>
        <v>3170307.8450844092</v>
      </c>
      <c r="T76" s="1">
        <f t="shared" si="76"/>
        <v>7481201.0325765517</v>
      </c>
      <c r="U76" s="9">
        <f>C76/Q76*100000</f>
        <v>0</v>
      </c>
      <c r="V76" s="9">
        <f t="shared" ref="V76:V100" si="87">D76/R76*100000</f>
        <v>0</v>
      </c>
      <c r="W76" s="9">
        <f t="shared" ref="W76:W100" si="88">E76/S76*100000</f>
        <v>0</v>
      </c>
      <c r="AA76" t="s">
        <v>30</v>
      </c>
      <c r="AB76" t="s">
        <v>3</v>
      </c>
      <c r="AC76">
        <v>10</v>
      </c>
      <c r="AD76">
        <v>50</v>
      </c>
      <c r="AE76">
        <v>168</v>
      </c>
      <c r="AG76">
        <v>0.9</v>
      </c>
      <c r="AH76">
        <v>1.5</v>
      </c>
      <c r="AI76">
        <v>5.3</v>
      </c>
      <c r="AJ76" s="9">
        <f t="shared" si="77"/>
        <v>0.92333333333333334</v>
      </c>
      <c r="AK76" s="9">
        <f t="shared" si="78"/>
        <v>1.5490135635018494</v>
      </c>
      <c r="AL76" s="9">
        <f t="shared" si="79"/>
        <v>5.2991699295223178</v>
      </c>
      <c r="AM76" s="3">
        <f t="shared" si="85"/>
        <v>0.82575887438722595</v>
      </c>
      <c r="AN76" s="3">
        <f t="shared" si="86"/>
        <v>0.70768750877904352</v>
      </c>
      <c r="AO76" s="3"/>
      <c r="AP76">
        <v>0</v>
      </c>
      <c r="AQ76">
        <v>2</v>
      </c>
      <c r="AR76">
        <v>10</v>
      </c>
      <c r="AS76">
        <v>0</v>
      </c>
      <c r="AT76">
        <v>0.1</v>
      </c>
      <c r="AU76">
        <v>0.3</v>
      </c>
      <c r="AV76" s="9">
        <f t="shared" si="80"/>
        <v>0</v>
      </c>
      <c r="AW76" s="9">
        <f t="shared" si="81"/>
        <v>6.1960542540073979E-2</v>
      </c>
      <c r="AX76" s="9">
        <f t="shared" si="82"/>
        <v>0.31542678151918557</v>
      </c>
      <c r="AY76" s="3">
        <f t="shared" si="83"/>
        <v>1</v>
      </c>
      <c r="AZ76" s="3">
        <f t="shared" si="84"/>
        <v>0.80356600589951721</v>
      </c>
    </row>
    <row r="77" spans="1:52" x14ac:dyDescent="0.25">
      <c r="A77" t="s">
        <v>31</v>
      </c>
      <c r="B77" t="s">
        <v>74</v>
      </c>
      <c r="C77">
        <v>0</v>
      </c>
      <c r="D77">
        <v>0</v>
      </c>
      <c r="E77">
        <v>0</v>
      </c>
      <c r="F77">
        <v>0</v>
      </c>
      <c r="G77">
        <v>0</v>
      </c>
      <c r="H77">
        <v>0</v>
      </c>
      <c r="I77" s="2" t="s">
        <v>31</v>
      </c>
      <c r="J77" t="s">
        <v>74</v>
      </c>
      <c r="K77">
        <v>227</v>
      </c>
      <c r="L77">
        <v>2084</v>
      </c>
      <c r="M77">
        <v>3991</v>
      </c>
      <c r="N77">
        <v>19.100000000000001</v>
      </c>
      <c r="O77">
        <v>66.5</v>
      </c>
      <c r="P77">
        <v>125.9</v>
      </c>
      <c r="Q77" s="1">
        <f>K77*100000/(N77+0.0000000001)</f>
        <v>1188481.6753864477</v>
      </c>
      <c r="R77" s="1">
        <f>L77*100000/(O77+0.0000000001)</f>
        <v>3133834.5864614528</v>
      </c>
      <c r="S77" s="1">
        <f>M77*100000/(P77+0.0000000001)</f>
        <v>3169976.1715622158</v>
      </c>
      <c r="T77" s="1">
        <f t="shared" si="76"/>
        <v>7492292.4334101155</v>
      </c>
      <c r="U77" s="9">
        <f>C77/Q77*100000</f>
        <v>0</v>
      </c>
      <c r="V77" s="9">
        <f t="shared" si="87"/>
        <v>0</v>
      </c>
      <c r="W77" s="9">
        <f t="shared" si="88"/>
        <v>0</v>
      </c>
      <c r="AA77" t="s">
        <v>31</v>
      </c>
      <c r="AB77" t="s">
        <v>3</v>
      </c>
      <c r="AC77">
        <v>11</v>
      </c>
      <c r="AD77">
        <v>53</v>
      </c>
      <c r="AE77">
        <v>171</v>
      </c>
      <c r="AG77">
        <v>0.9</v>
      </c>
      <c r="AH77">
        <v>1.7</v>
      </c>
      <c r="AI77">
        <v>5.4</v>
      </c>
      <c r="AJ77" s="9">
        <f t="shared" si="77"/>
        <v>0.92555066079779735</v>
      </c>
      <c r="AK77" s="9">
        <f t="shared" si="78"/>
        <v>1.6912188099833494</v>
      </c>
      <c r="AL77" s="9">
        <f t="shared" si="79"/>
        <v>5.3943623152135061</v>
      </c>
      <c r="AM77" s="3">
        <f t="shared" si="85"/>
        <v>0.82842259998229939</v>
      </c>
      <c r="AN77" s="3">
        <f t="shared" si="86"/>
        <v>0.68648401587455998</v>
      </c>
      <c r="AO77" s="3"/>
      <c r="AP77">
        <v>0</v>
      </c>
      <c r="AQ77">
        <v>3</v>
      </c>
      <c r="AR77">
        <v>13</v>
      </c>
      <c r="AS77">
        <v>0</v>
      </c>
      <c r="AT77">
        <v>0.1</v>
      </c>
      <c r="AU77">
        <v>0.4</v>
      </c>
      <c r="AV77" s="9">
        <f t="shared" si="80"/>
        <v>0</v>
      </c>
      <c r="AW77" s="9">
        <f t="shared" si="81"/>
        <v>9.5729366602831101E-2</v>
      </c>
      <c r="AX77" s="9">
        <f t="shared" si="82"/>
        <v>0.41009771987003257</v>
      </c>
      <c r="AY77" s="3">
        <f t="shared" si="83"/>
        <v>1</v>
      </c>
      <c r="AZ77" s="3">
        <f t="shared" si="84"/>
        <v>0.76656937611560116</v>
      </c>
    </row>
    <row r="78" spans="1:52" x14ac:dyDescent="0.25">
      <c r="A78" t="s">
        <v>32</v>
      </c>
      <c r="B78" t="s">
        <v>74</v>
      </c>
      <c r="C78">
        <v>0</v>
      </c>
      <c r="D78">
        <v>0</v>
      </c>
      <c r="E78">
        <v>0</v>
      </c>
      <c r="F78">
        <v>0</v>
      </c>
      <c r="G78">
        <v>0</v>
      </c>
      <c r="H78">
        <v>0</v>
      </c>
      <c r="I78" s="2" t="s">
        <v>32</v>
      </c>
      <c r="J78" t="s">
        <v>74</v>
      </c>
      <c r="K78">
        <v>93</v>
      </c>
      <c r="L78">
        <v>831</v>
      </c>
      <c r="M78">
        <v>1365</v>
      </c>
      <c r="N78">
        <v>7.2</v>
      </c>
      <c r="O78">
        <v>27.4</v>
      </c>
      <c r="P78">
        <v>43.1</v>
      </c>
      <c r="Q78" s="1">
        <f>K78*100000/N78</f>
        <v>1291666.6666666667</v>
      </c>
      <c r="R78" s="1">
        <f>L78*100000/O78</f>
        <v>3032846.7153284671</v>
      </c>
      <c r="S78" s="1">
        <f>M78*100000/P78</f>
        <v>3167053.3642691416</v>
      </c>
      <c r="T78" s="1">
        <f t="shared" si="76"/>
        <v>7491566.7462642752</v>
      </c>
      <c r="U78" s="9">
        <f>C78/Q78*100000</f>
        <v>0</v>
      </c>
      <c r="V78" s="9">
        <f t="shared" si="87"/>
        <v>0</v>
      </c>
      <c r="W78" s="9">
        <f t="shared" si="88"/>
        <v>0</v>
      </c>
      <c r="AA78" t="s">
        <v>32</v>
      </c>
      <c r="AB78" t="s">
        <v>3</v>
      </c>
      <c r="AC78">
        <v>12</v>
      </c>
      <c r="AD78">
        <v>52</v>
      </c>
      <c r="AE78">
        <v>185</v>
      </c>
      <c r="AG78">
        <v>0.9</v>
      </c>
      <c r="AH78">
        <v>1.7</v>
      </c>
      <c r="AI78">
        <v>5.8</v>
      </c>
      <c r="AJ78" s="9">
        <f t="shared" si="77"/>
        <v>0.92903225806451617</v>
      </c>
      <c r="AK78" s="9">
        <f t="shared" si="78"/>
        <v>1.714560770156438</v>
      </c>
      <c r="AL78" s="9">
        <f t="shared" si="79"/>
        <v>5.8413919413919411</v>
      </c>
      <c r="AM78" s="3">
        <f t="shared" si="85"/>
        <v>0.8409570411666063</v>
      </c>
      <c r="AN78" s="3">
        <f t="shared" si="86"/>
        <v>0.70648078619633314</v>
      </c>
      <c r="AO78" s="3"/>
      <c r="AP78">
        <v>1</v>
      </c>
      <c r="AQ78">
        <v>1</v>
      </c>
      <c r="AR78">
        <v>9</v>
      </c>
      <c r="AS78">
        <v>0.1</v>
      </c>
      <c r="AT78">
        <v>0</v>
      </c>
      <c r="AU78">
        <v>0.3</v>
      </c>
      <c r="AV78" s="9">
        <f t="shared" si="80"/>
        <v>7.7419354838709667E-2</v>
      </c>
      <c r="AW78" s="9">
        <f t="shared" si="81"/>
        <v>3.2972322503008425E-2</v>
      </c>
      <c r="AX78" s="9">
        <f t="shared" si="82"/>
        <v>0.28417582417582415</v>
      </c>
      <c r="AY78" s="3">
        <f t="shared" si="83"/>
        <v>0.72756530199835345</v>
      </c>
      <c r="AZ78" s="3">
        <f t="shared" si="84"/>
        <v>0.88397210565453332</v>
      </c>
    </row>
    <row r="79" spans="1:52" x14ac:dyDescent="0.25">
      <c r="A79" t="s">
        <v>0</v>
      </c>
      <c r="B79" t="s">
        <v>74</v>
      </c>
      <c r="C79">
        <v>0</v>
      </c>
      <c r="D79">
        <v>1</v>
      </c>
      <c r="E79">
        <v>0</v>
      </c>
      <c r="F79">
        <v>0</v>
      </c>
      <c r="G79">
        <v>0</v>
      </c>
      <c r="H79">
        <v>0</v>
      </c>
      <c r="I79" s="2" t="s">
        <v>0</v>
      </c>
      <c r="J79" t="s">
        <v>74</v>
      </c>
      <c r="K79">
        <v>0</v>
      </c>
      <c r="L79">
        <v>2499</v>
      </c>
      <c r="M79">
        <v>2444</v>
      </c>
      <c r="N79">
        <v>0</v>
      </c>
      <c r="O79">
        <v>59.4</v>
      </c>
      <c r="P79">
        <v>71.2</v>
      </c>
      <c r="Q79" s="1">
        <f>Q80-(Q81-Q80)</f>
        <v>2502.1233225650412</v>
      </c>
      <c r="R79" s="1">
        <f t="shared" ref="R79:R91" si="89">L79*100000/(O79+0.0000000001)</f>
        <v>4207070.7070636246</v>
      </c>
      <c r="S79" s="1">
        <f t="shared" ref="S79:S91" si="90">M79*100000/(P79+0.0000000001)</f>
        <v>3432584.2696580999</v>
      </c>
      <c r="T79" s="1">
        <f t="shared" si="76"/>
        <v>7642157.1000442896</v>
      </c>
      <c r="U79" s="9">
        <v>0</v>
      </c>
      <c r="V79" s="9">
        <f t="shared" si="87"/>
        <v>2.3769507803161262E-2</v>
      </c>
      <c r="W79" s="9">
        <f t="shared" si="88"/>
        <v>0</v>
      </c>
      <c r="AA79" t="s">
        <v>0</v>
      </c>
      <c r="AB79" t="s">
        <v>3</v>
      </c>
      <c r="AC79">
        <v>0</v>
      </c>
      <c r="AD79">
        <v>24</v>
      </c>
      <c r="AE79">
        <v>52</v>
      </c>
      <c r="AG79">
        <v>0</v>
      </c>
      <c r="AH79">
        <v>0.6</v>
      </c>
      <c r="AI79">
        <v>1.5</v>
      </c>
      <c r="AK79" s="9">
        <f t="shared" si="78"/>
        <v>0.57046818727587034</v>
      </c>
      <c r="AL79" s="9">
        <f t="shared" si="79"/>
        <v>1.5148936170234044</v>
      </c>
      <c r="AM79" s="3">
        <f t="shared" si="85"/>
        <v>1</v>
      </c>
      <c r="AN79" s="3">
        <f t="shared" si="86"/>
        <v>0.62342689884932234</v>
      </c>
      <c r="AO79" s="3"/>
      <c r="AP79">
        <v>0</v>
      </c>
      <c r="AQ79">
        <v>2</v>
      </c>
      <c r="AR79">
        <v>1</v>
      </c>
      <c r="AS79">
        <v>0</v>
      </c>
      <c r="AT79">
        <v>0</v>
      </c>
      <c r="AU79">
        <v>0</v>
      </c>
      <c r="AW79" s="9">
        <f t="shared" si="81"/>
        <v>4.7539015606322524E-2</v>
      </c>
      <c r="AX79" s="9">
        <f t="shared" si="82"/>
        <v>2.9132569558142397E-2</v>
      </c>
      <c r="AY79" s="3">
        <f t="shared" si="83"/>
        <v>1</v>
      </c>
      <c r="AZ79" s="3">
        <f t="shared" si="84"/>
        <v>-0.63181677165293593</v>
      </c>
    </row>
    <row r="80" spans="1:52" x14ac:dyDescent="0.25">
      <c r="A80" t="s">
        <v>4</v>
      </c>
      <c r="B80" t="s">
        <v>74</v>
      </c>
      <c r="C80">
        <v>0</v>
      </c>
      <c r="D80">
        <v>0</v>
      </c>
      <c r="E80">
        <v>0</v>
      </c>
      <c r="F80">
        <v>0</v>
      </c>
      <c r="G80">
        <v>0</v>
      </c>
      <c r="H80">
        <v>0</v>
      </c>
      <c r="I80" s="2" t="s">
        <v>4</v>
      </c>
      <c r="J80" t="s">
        <v>74</v>
      </c>
      <c r="K80">
        <v>1</v>
      </c>
      <c r="L80">
        <v>2622</v>
      </c>
      <c r="M80">
        <v>2498</v>
      </c>
      <c r="N80">
        <v>35</v>
      </c>
      <c r="O80">
        <v>62.3</v>
      </c>
      <c r="P80">
        <v>72.900000000000006</v>
      </c>
      <c r="Q80" s="1">
        <f>K80*100000/(N80+0.0000000001)</f>
        <v>2857.1428571346937</v>
      </c>
      <c r="R80" s="1">
        <f t="shared" si="89"/>
        <v>4208667.7367508691</v>
      </c>
      <c r="S80" s="1">
        <f t="shared" si="90"/>
        <v>3426611.7969774664</v>
      </c>
      <c r="T80" s="1">
        <f t="shared" si="76"/>
        <v>7638136.6765854694</v>
      </c>
      <c r="U80" s="9">
        <f>C80/Q80*100000</f>
        <v>0</v>
      </c>
      <c r="V80" s="9">
        <f t="shared" si="87"/>
        <v>0</v>
      </c>
      <c r="W80" s="9">
        <f t="shared" si="88"/>
        <v>0</v>
      </c>
      <c r="AA80" t="s">
        <v>4</v>
      </c>
      <c r="AB80" t="s">
        <v>3</v>
      </c>
      <c r="AC80">
        <v>0</v>
      </c>
      <c r="AD80">
        <v>27</v>
      </c>
      <c r="AE80">
        <v>56</v>
      </c>
      <c r="AG80">
        <v>0</v>
      </c>
      <c r="AH80">
        <v>0.6</v>
      </c>
      <c r="AI80">
        <v>1.6</v>
      </c>
      <c r="AJ80" s="9">
        <f>AC80/Q80*100000</f>
        <v>0</v>
      </c>
      <c r="AK80" s="9">
        <f t="shared" si="78"/>
        <v>0.64153318077906174</v>
      </c>
      <c r="AL80" s="9">
        <f t="shared" si="79"/>
        <v>1.6342674139333868</v>
      </c>
      <c r="AM80" s="3">
        <f t="shared" si="85"/>
        <v>1</v>
      </c>
      <c r="AN80" s="3">
        <f t="shared" si="86"/>
        <v>0.60744907760535516</v>
      </c>
      <c r="AO80" s="3"/>
      <c r="AP80">
        <v>0</v>
      </c>
      <c r="AQ80">
        <v>6</v>
      </c>
      <c r="AR80">
        <v>4</v>
      </c>
      <c r="AS80">
        <v>0</v>
      </c>
      <c r="AT80">
        <v>0.1</v>
      </c>
      <c r="AU80">
        <v>0.1</v>
      </c>
      <c r="AV80" s="9">
        <f t="shared" si="80"/>
        <v>0</v>
      </c>
      <c r="AW80" s="9">
        <f t="shared" si="81"/>
        <v>0.14256292906201373</v>
      </c>
      <c r="AX80" s="9">
        <f t="shared" si="82"/>
        <v>0.11673338670952764</v>
      </c>
      <c r="AY80" s="3">
        <f t="shared" si="83"/>
        <v>1</v>
      </c>
      <c r="AZ80" s="3">
        <f t="shared" si="84"/>
        <v>-0.22126953633889479</v>
      </c>
    </row>
    <row r="81" spans="1:52" x14ac:dyDescent="0.25">
      <c r="A81" t="s">
        <v>5</v>
      </c>
      <c r="B81" t="s">
        <v>74</v>
      </c>
      <c r="C81">
        <v>0</v>
      </c>
      <c r="D81">
        <v>0</v>
      </c>
      <c r="E81">
        <v>0</v>
      </c>
      <c r="F81">
        <v>0</v>
      </c>
      <c r="G81">
        <v>0</v>
      </c>
      <c r="H81">
        <v>0</v>
      </c>
      <c r="I81" s="2" t="s">
        <v>5</v>
      </c>
      <c r="J81" t="s">
        <v>74</v>
      </c>
      <c r="K81">
        <v>0</v>
      </c>
      <c r="L81">
        <v>2586</v>
      </c>
      <c r="M81">
        <v>2632</v>
      </c>
      <c r="N81">
        <v>0</v>
      </c>
      <c r="O81">
        <v>61.4</v>
      </c>
      <c r="P81">
        <v>77</v>
      </c>
      <c r="Q81" s="1">
        <f>(Q80+Q82)/2</f>
        <v>3212.1623917043462</v>
      </c>
      <c r="R81" s="1">
        <f t="shared" si="89"/>
        <v>4211726.3843579609</v>
      </c>
      <c r="S81" s="1">
        <f t="shared" si="90"/>
        <v>3418181.8181773787</v>
      </c>
      <c r="T81" s="1">
        <f t="shared" si="76"/>
        <v>7633120.3649270441</v>
      </c>
      <c r="U81" s="9">
        <v>0</v>
      </c>
      <c r="V81" s="9">
        <f t="shared" si="87"/>
        <v>0</v>
      </c>
      <c r="W81" s="9">
        <f t="shared" si="88"/>
        <v>0</v>
      </c>
      <c r="AA81" t="s">
        <v>5</v>
      </c>
      <c r="AB81" t="s">
        <v>3</v>
      </c>
      <c r="AC81">
        <v>0</v>
      </c>
      <c r="AD81">
        <v>23</v>
      </c>
      <c r="AE81">
        <v>64</v>
      </c>
      <c r="AG81">
        <v>0</v>
      </c>
      <c r="AH81">
        <v>0.5</v>
      </c>
      <c r="AI81">
        <v>1.9</v>
      </c>
      <c r="AK81" s="9">
        <f t="shared" si="78"/>
        <v>0.54609435421589336</v>
      </c>
      <c r="AL81" s="9">
        <f t="shared" si="79"/>
        <v>1.8723404255343468</v>
      </c>
      <c r="AM81" s="3">
        <f t="shared" si="85"/>
        <v>1</v>
      </c>
      <c r="AN81" s="3">
        <f t="shared" si="86"/>
        <v>0.70833596990779935</v>
      </c>
      <c r="AO81" s="3"/>
      <c r="AP81">
        <v>0</v>
      </c>
      <c r="AQ81">
        <v>0</v>
      </c>
      <c r="AR81">
        <v>4</v>
      </c>
      <c r="AS81">
        <v>0</v>
      </c>
      <c r="AT81">
        <v>0</v>
      </c>
      <c r="AU81">
        <v>0.1</v>
      </c>
      <c r="AW81" s="9">
        <f t="shared" si="81"/>
        <v>0</v>
      </c>
      <c r="AX81" s="9">
        <f t="shared" si="82"/>
        <v>0.11702127659589667</v>
      </c>
      <c r="AY81" s="3">
        <f t="shared" si="83"/>
        <v>1</v>
      </c>
      <c r="AZ81" s="3">
        <f t="shared" si="84"/>
        <v>1</v>
      </c>
    </row>
    <row r="82" spans="1:52" x14ac:dyDescent="0.25">
      <c r="A82" t="s">
        <v>6</v>
      </c>
      <c r="B82" t="s">
        <v>74</v>
      </c>
      <c r="C82">
        <v>0</v>
      </c>
      <c r="D82">
        <v>0</v>
      </c>
      <c r="E82">
        <v>0</v>
      </c>
      <c r="F82">
        <v>0</v>
      </c>
      <c r="G82">
        <v>0</v>
      </c>
      <c r="H82">
        <v>0</v>
      </c>
      <c r="I82" s="2" t="s">
        <v>6</v>
      </c>
      <c r="J82" t="s">
        <v>74</v>
      </c>
      <c r="K82">
        <v>3</v>
      </c>
      <c r="L82">
        <v>2488</v>
      </c>
      <c r="M82">
        <v>2636</v>
      </c>
      <c r="N82">
        <v>84.1</v>
      </c>
      <c r="O82">
        <v>59.1</v>
      </c>
      <c r="P82">
        <v>77.2</v>
      </c>
      <c r="Q82" s="1">
        <f>K82*100000/(N82+0.0000000001)</f>
        <v>3567.1819262739987</v>
      </c>
      <c r="R82" s="1">
        <f t="shared" si="89"/>
        <v>4209813.8747813711</v>
      </c>
      <c r="S82" s="1">
        <f t="shared" si="90"/>
        <v>3414507.7720163022</v>
      </c>
      <c r="T82" s="1">
        <f t="shared" si="76"/>
        <v>7627888.8287239466</v>
      </c>
      <c r="U82" s="9">
        <f>C82/Q82*100000</f>
        <v>0</v>
      </c>
      <c r="V82" s="9">
        <f t="shared" si="87"/>
        <v>0</v>
      </c>
      <c r="W82" s="9">
        <f t="shared" si="88"/>
        <v>0</v>
      </c>
      <c r="AA82" t="s">
        <v>6</v>
      </c>
      <c r="AB82" t="s">
        <v>3</v>
      </c>
      <c r="AC82">
        <v>0</v>
      </c>
      <c r="AD82">
        <v>23</v>
      </c>
      <c r="AE82">
        <v>70</v>
      </c>
      <c r="AG82">
        <v>0</v>
      </c>
      <c r="AH82">
        <v>0.5</v>
      </c>
      <c r="AI82">
        <v>2</v>
      </c>
      <c r="AJ82" s="9">
        <f t="shared" ref="AJ82:AJ100" si="91">AC82/Q82*100000</f>
        <v>0</v>
      </c>
      <c r="AK82" s="9">
        <f t="shared" si="78"/>
        <v>0.54634244373082796</v>
      </c>
      <c r="AL82" s="9">
        <f t="shared" si="79"/>
        <v>2.0500758725367985</v>
      </c>
      <c r="AM82" s="3">
        <f t="shared" si="85"/>
        <v>1</v>
      </c>
      <c r="AN82" s="3">
        <f t="shared" si="86"/>
        <v>0.73350135424267271</v>
      </c>
      <c r="AO82" s="3"/>
      <c r="AP82">
        <v>0</v>
      </c>
      <c r="AQ82">
        <v>1</v>
      </c>
      <c r="AR82">
        <v>5</v>
      </c>
      <c r="AS82">
        <v>0</v>
      </c>
      <c r="AT82">
        <v>0</v>
      </c>
      <c r="AU82">
        <v>0.1</v>
      </c>
      <c r="AV82" s="9">
        <f t="shared" si="80"/>
        <v>0</v>
      </c>
      <c r="AW82" s="9">
        <f t="shared" si="81"/>
        <v>2.3754019292644691E-2</v>
      </c>
      <c r="AX82" s="9">
        <f t="shared" si="82"/>
        <v>0.14643399089548562</v>
      </c>
      <c r="AY82" s="3">
        <f t="shared" si="83"/>
        <v>1</v>
      </c>
      <c r="AZ82" s="3">
        <f t="shared" si="84"/>
        <v>0.83778343301727909</v>
      </c>
    </row>
    <row r="83" spans="1:52" x14ac:dyDescent="0.25">
      <c r="A83" t="s">
        <v>7</v>
      </c>
      <c r="B83" t="s">
        <v>74</v>
      </c>
      <c r="C83">
        <v>0</v>
      </c>
      <c r="D83">
        <v>0</v>
      </c>
      <c r="E83">
        <v>0</v>
      </c>
      <c r="F83">
        <v>0</v>
      </c>
      <c r="G83">
        <v>0</v>
      </c>
      <c r="H83">
        <v>0</v>
      </c>
      <c r="I83" s="2" t="s">
        <v>7</v>
      </c>
      <c r="J83" t="s">
        <v>74</v>
      </c>
      <c r="K83">
        <v>0</v>
      </c>
      <c r="L83">
        <v>1836</v>
      </c>
      <c r="M83">
        <v>1795</v>
      </c>
      <c r="N83">
        <v>0</v>
      </c>
      <c r="O83">
        <v>43.6</v>
      </c>
      <c r="P83">
        <v>52.6</v>
      </c>
      <c r="Q83" s="1">
        <f>T82-S83-R83</f>
        <v>4332.1259110560641</v>
      </c>
      <c r="R83" s="1">
        <f t="shared" si="89"/>
        <v>4211009.1743022678</v>
      </c>
      <c r="S83" s="1">
        <f t="shared" si="90"/>
        <v>3412547.5285106222</v>
      </c>
      <c r="T83" s="1">
        <f t="shared" si="76"/>
        <v>7627888.8287239466</v>
      </c>
      <c r="U83" s="9">
        <v>0</v>
      </c>
      <c r="V83" s="9">
        <f t="shared" si="87"/>
        <v>0</v>
      </c>
      <c r="W83" s="9">
        <f t="shared" si="88"/>
        <v>0</v>
      </c>
      <c r="AA83" t="s">
        <v>7</v>
      </c>
      <c r="AB83" t="s">
        <v>3</v>
      </c>
      <c r="AC83">
        <v>0</v>
      </c>
      <c r="AD83">
        <v>25</v>
      </c>
      <c r="AE83">
        <v>72</v>
      </c>
      <c r="AG83">
        <v>0</v>
      </c>
      <c r="AH83">
        <v>0.6</v>
      </c>
      <c r="AI83">
        <v>2.1</v>
      </c>
      <c r="AJ83" s="9">
        <f t="shared" si="91"/>
        <v>0</v>
      </c>
      <c r="AK83" s="9">
        <f t="shared" si="78"/>
        <v>0.5936819172126907</v>
      </c>
      <c r="AL83" s="9">
        <f t="shared" si="79"/>
        <v>2.1098607242379948</v>
      </c>
      <c r="AM83" s="3">
        <f t="shared" si="85"/>
        <v>1</v>
      </c>
      <c r="AN83" s="3">
        <f t="shared" si="86"/>
        <v>0.71861558898533118</v>
      </c>
      <c r="AO83" s="3"/>
      <c r="AP83">
        <v>0</v>
      </c>
      <c r="AQ83">
        <v>7</v>
      </c>
      <c r="AR83">
        <v>5</v>
      </c>
      <c r="AS83">
        <v>0</v>
      </c>
      <c r="AT83">
        <v>0.2</v>
      </c>
      <c r="AU83">
        <v>0.1</v>
      </c>
      <c r="AV83" s="9">
        <f t="shared" si="80"/>
        <v>0</v>
      </c>
      <c r="AW83" s="9">
        <f t="shared" si="81"/>
        <v>0.16623093681955339</v>
      </c>
      <c r="AX83" s="9">
        <f t="shared" si="82"/>
        <v>0.14651810584986072</v>
      </c>
      <c r="AY83" s="3">
        <f t="shared" si="83"/>
        <v>1</v>
      </c>
      <c r="AZ83" s="3">
        <f t="shared" si="84"/>
        <v>-0.13454194521114471</v>
      </c>
    </row>
    <row r="84" spans="1:52" x14ac:dyDescent="0.25">
      <c r="A84" t="s">
        <v>8</v>
      </c>
      <c r="B84" t="s">
        <v>74</v>
      </c>
      <c r="C84">
        <v>0</v>
      </c>
      <c r="D84">
        <v>0</v>
      </c>
      <c r="E84">
        <v>2</v>
      </c>
      <c r="F84">
        <v>0</v>
      </c>
      <c r="G84">
        <v>0</v>
      </c>
      <c r="H84">
        <v>0.1</v>
      </c>
      <c r="I84" s="2" t="s">
        <v>8</v>
      </c>
      <c r="J84" t="s">
        <v>74</v>
      </c>
      <c r="K84">
        <v>1</v>
      </c>
      <c r="L84">
        <v>2277</v>
      </c>
      <c r="M84">
        <v>2230</v>
      </c>
      <c r="N84">
        <v>21.3</v>
      </c>
      <c r="O84">
        <v>54</v>
      </c>
      <c r="P84">
        <v>65.5</v>
      </c>
      <c r="Q84" s="1">
        <f t="shared" ref="Q84:Q91" si="92">K84*100000/(N84+0.0000000001)</f>
        <v>4694.835680729132</v>
      </c>
      <c r="R84" s="1">
        <f t="shared" si="89"/>
        <v>4216666.6666588578</v>
      </c>
      <c r="S84" s="1">
        <f t="shared" si="90"/>
        <v>3404580.1526665576</v>
      </c>
      <c r="T84" s="1">
        <f t="shared" si="76"/>
        <v>7625941.6550061442</v>
      </c>
      <c r="U84" s="9">
        <f t="shared" ref="U84:U100" si="93">C84/Q84*100000</f>
        <v>0</v>
      </c>
      <c r="V84" s="9">
        <f t="shared" si="87"/>
        <v>0</v>
      </c>
      <c r="W84" s="9">
        <f t="shared" si="88"/>
        <v>5.8744394618923772E-2</v>
      </c>
      <c r="AA84" t="s">
        <v>8</v>
      </c>
      <c r="AB84" t="s">
        <v>3</v>
      </c>
      <c r="AC84">
        <v>0</v>
      </c>
      <c r="AD84">
        <v>37</v>
      </c>
      <c r="AE84">
        <v>81</v>
      </c>
      <c r="AG84">
        <v>0</v>
      </c>
      <c r="AH84">
        <v>0.9</v>
      </c>
      <c r="AI84">
        <v>2.4</v>
      </c>
      <c r="AJ84" s="9">
        <f t="shared" si="91"/>
        <v>0</v>
      </c>
      <c r="AK84" s="9">
        <f t="shared" si="78"/>
        <v>0.87747035573285037</v>
      </c>
      <c r="AL84" s="9">
        <f t="shared" si="79"/>
        <v>2.3791479820664128</v>
      </c>
      <c r="AM84" s="3">
        <f t="shared" si="85"/>
        <v>1</v>
      </c>
      <c r="AN84" s="3">
        <f t="shared" si="86"/>
        <v>0.63118294349613258</v>
      </c>
      <c r="AO84" s="3"/>
      <c r="AP84">
        <v>0</v>
      </c>
      <c r="AQ84">
        <v>5</v>
      </c>
      <c r="AR84">
        <v>7</v>
      </c>
      <c r="AS84">
        <v>0</v>
      </c>
      <c r="AT84">
        <v>0.1</v>
      </c>
      <c r="AU84">
        <v>0.2</v>
      </c>
      <c r="AV84" s="9">
        <f t="shared" si="80"/>
        <v>0</v>
      </c>
      <c r="AW84" s="9">
        <f t="shared" si="81"/>
        <v>0.11857707509903381</v>
      </c>
      <c r="AX84" s="9">
        <f t="shared" si="82"/>
        <v>0.2056053811662332</v>
      </c>
      <c r="AY84" s="3">
        <f t="shared" si="83"/>
        <v>1</v>
      </c>
      <c r="AZ84" s="3">
        <f t="shared" si="84"/>
        <v>0.42327834793796804</v>
      </c>
    </row>
    <row r="85" spans="1:52" x14ac:dyDescent="0.25">
      <c r="A85" t="s">
        <v>9</v>
      </c>
      <c r="B85" t="s">
        <v>74</v>
      </c>
      <c r="C85">
        <v>0</v>
      </c>
      <c r="D85">
        <v>0</v>
      </c>
      <c r="E85">
        <v>0</v>
      </c>
      <c r="F85">
        <v>0</v>
      </c>
      <c r="G85">
        <v>0</v>
      </c>
      <c r="H85">
        <v>0</v>
      </c>
      <c r="I85" s="2" t="s">
        <v>9</v>
      </c>
      <c r="J85" t="s">
        <v>74</v>
      </c>
      <c r="K85">
        <v>12</v>
      </c>
      <c r="L85">
        <v>3681</v>
      </c>
      <c r="M85">
        <v>3950</v>
      </c>
      <c r="N85">
        <v>200.9</v>
      </c>
      <c r="O85">
        <v>87.3</v>
      </c>
      <c r="P85">
        <v>116.4</v>
      </c>
      <c r="Q85" s="1">
        <f t="shared" si="92"/>
        <v>5973.1209556963795</v>
      </c>
      <c r="R85" s="1">
        <f t="shared" si="89"/>
        <v>4216494.845355995</v>
      </c>
      <c r="S85" s="1">
        <f t="shared" si="90"/>
        <v>3393470.7903750911</v>
      </c>
      <c r="T85" s="1">
        <f t="shared" si="76"/>
        <v>7615938.7566867825</v>
      </c>
      <c r="U85" s="9">
        <f t="shared" si="93"/>
        <v>0</v>
      </c>
      <c r="V85" s="9">
        <f t="shared" si="87"/>
        <v>0</v>
      </c>
      <c r="W85" s="9">
        <f t="shared" si="88"/>
        <v>0</v>
      </c>
      <c r="AA85" t="s">
        <v>9</v>
      </c>
      <c r="AB85" t="s">
        <v>3</v>
      </c>
      <c r="AC85">
        <v>0</v>
      </c>
      <c r="AD85">
        <v>35</v>
      </c>
      <c r="AE85">
        <v>81</v>
      </c>
      <c r="AG85">
        <v>0</v>
      </c>
      <c r="AH85">
        <v>0.8</v>
      </c>
      <c r="AI85">
        <v>2.4</v>
      </c>
      <c r="AJ85" s="9">
        <f t="shared" si="91"/>
        <v>0</v>
      </c>
      <c r="AK85" s="9">
        <f t="shared" si="78"/>
        <v>0.83007334963420254</v>
      </c>
      <c r="AL85" s="9">
        <f t="shared" si="79"/>
        <v>2.3869367088628106</v>
      </c>
      <c r="AM85" s="3">
        <f t="shared" si="85"/>
        <v>1</v>
      </c>
      <c r="AN85" s="3">
        <f t="shared" si="86"/>
        <v>0.65224325112932391</v>
      </c>
      <c r="AO85" s="3"/>
      <c r="AP85">
        <v>0</v>
      </c>
      <c r="AQ85">
        <v>1</v>
      </c>
      <c r="AR85">
        <v>3</v>
      </c>
      <c r="AS85">
        <v>0</v>
      </c>
      <c r="AT85">
        <v>0</v>
      </c>
      <c r="AU85">
        <v>0.1</v>
      </c>
      <c r="AV85" s="9">
        <f t="shared" si="80"/>
        <v>0</v>
      </c>
      <c r="AW85" s="9">
        <f t="shared" si="81"/>
        <v>2.3716381418120075E-2</v>
      </c>
      <c r="AX85" s="9">
        <f t="shared" si="82"/>
        <v>8.8405063291215197E-2</v>
      </c>
      <c r="AY85" s="3">
        <f t="shared" si="83"/>
        <v>1</v>
      </c>
      <c r="AZ85" s="3">
        <f t="shared" si="84"/>
        <v>0.73173050801404982</v>
      </c>
    </row>
    <row r="86" spans="1:52" x14ac:dyDescent="0.25">
      <c r="A86" t="s">
        <v>10</v>
      </c>
      <c r="B86" t="s">
        <v>74</v>
      </c>
      <c r="C86">
        <v>0</v>
      </c>
      <c r="D86">
        <v>1</v>
      </c>
      <c r="E86">
        <v>0</v>
      </c>
      <c r="F86">
        <v>0</v>
      </c>
      <c r="G86">
        <v>0</v>
      </c>
      <c r="H86">
        <v>0</v>
      </c>
      <c r="I86" s="2" t="s">
        <v>10</v>
      </c>
      <c r="J86" t="s">
        <v>74</v>
      </c>
      <c r="K86">
        <v>4</v>
      </c>
      <c r="L86">
        <v>3448</v>
      </c>
      <c r="M86">
        <v>3635</v>
      </c>
      <c r="N86">
        <v>52.4</v>
      </c>
      <c r="O86">
        <v>81.7</v>
      </c>
      <c r="P86">
        <v>107.4</v>
      </c>
      <c r="Q86" s="1">
        <f t="shared" si="92"/>
        <v>7633.5877862449743</v>
      </c>
      <c r="R86" s="1">
        <f t="shared" si="89"/>
        <v>4220318.2374489345</v>
      </c>
      <c r="S86" s="1">
        <f t="shared" si="90"/>
        <v>3384543.761635582</v>
      </c>
      <c r="T86" s="1">
        <f t="shared" si="76"/>
        <v>7612495.5868707616</v>
      </c>
      <c r="U86" s="9">
        <f t="shared" si="93"/>
        <v>0</v>
      </c>
      <c r="V86" s="9">
        <f t="shared" si="87"/>
        <v>2.3694895591676337E-2</v>
      </c>
      <c r="W86" s="9">
        <f t="shared" si="88"/>
        <v>0</v>
      </c>
      <c r="AA86" t="s">
        <v>10</v>
      </c>
      <c r="AB86" t="s">
        <v>3</v>
      </c>
      <c r="AC86">
        <v>0</v>
      </c>
      <c r="AD86">
        <v>45</v>
      </c>
      <c r="AE86">
        <v>86</v>
      </c>
      <c r="AG86">
        <v>0</v>
      </c>
      <c r="AH86">
        <v>1.1000000000000001</v>
      </c>
      <c r="AI86">
        <v>2.5</v>
      </c>
      <c r="AJ86" s="9">
        <f t="shared" si="91"/>
        <v>0</v>
      </c>
      <c r="AK86" s="9">
        <f t="shared" si="78"/>
        <v>1.0662703016254351</v>
      </c>
      <c r="AL86" s="9">
        <f t="shared" si="79"/>
        <v>2.5409628610752684</v>
      </c>
      <c r="AM86" s="3">
        <f t="shared" si="85"/>
        <v>1</v>
      </c>
      <c r="AN86" s="3">
        <f t="shared" si="86"/>
        <v>0.58036761656003988</v>
      </c>
      <c r="AO86" s="3"/>
      <c r="AP86">
        <v>0</v>
      </c>
      <c r="AQ86">
        <v>5</v>
      </c>
      <c r="AR86">
        <v>3</v>
      </c>
      <c r="AS86">
        <v>0</v>
      </c>
      <c r="AT86">
        <v>0.1</v>
      </c>
      <c r="AU86">
        <v>0.1</v>
      </c>
      <c r="AV86" s="9">
        <f t="shared" si="80"/>
        <v>0</v>
      </c>
      <c r="AW86" s="9">
        <f t="shared" si="81"/>
        <v>0.11847447795838167</v>
      </c>
      <c r="AX86" s="9">
        <f t="shared" si="82"/>
        <v>8.8638239339834946E-2</v>
      </c>
      <c r="AY86" s="3">
        <f t="shared" si="83"/>
        <v>1</v>
      </c>
      <c r="AZ86" s="3">
        <f t="shared" si="84"/>
        <v>-0.33660685095690979</v>
      </c>
    </row>
    <row r="87" spans="1:52" x14ac:dyDescent="0.25">
      <c r="A87" t="s">
        <v>11</v>
      </c>
      <c r="B87" t="s">
        <v>74</v>
      </c>
      <c r="C87">
        <v>0</v>
      </c>
      <c r="D87">
        <v>1</v>
      </c>
      <c r="E87">
        <v>1</v>
      </c>
      <c r="F87">
        <v>0</v>
      </c>
      <c r="G87">
        <v>0</v>
      </c>
      <c r="H87">
        <v>0</v>
      </c>
      <c r="I87" s="2" t="s">
        <v>11</v>
      </c>
      <c r="J87" t="s">
        <v>74</v>
      </c>
      <c r="K87">
        <v>2</v>
      </c>
      <c r="L87">
        <v>3363</v>
      </c>
      <c r="M87">
        <v>3740</v>
      </c>
      <c r="N87">
        <v>21</v>
      </c>
      <c r="O87">
        <v>79.7</v>
      </c>
      <c r="P87">
        <v>110.9</v>
      </c>
      <c r="Q87" s="1">
        <f t="shared" si="92"/>
        <v>9523.8095237641737</v>
      </c>
      <c r="R87" s="1">
        <f t="shared" si="89"/>
        <v>4219573.400245646</v>
      </c>
      <c r="S87" s="1">
        <f t="shared" si="90"/>
        <v>3372407.5743883024</v>
      </c>
      <c r="T87" s="1">
        <f t="shared" si="76"/>
        <v>7601504.784157712</v>
      </c>
      <c r="U87" s="9">
        <f t="shared" si="93"/>
        <v>0</v>
      </c>
      <c r="V87" s="9">
        <f t="shared" si="87"/>
        <v>2.369907820401428E-2</v>
      </c>
      <c r="W87" s="9">
        <f t="shared" si="88"/>
        <v>2.9652406417139038E-2</v>
      </c>
      <c r="AA87" t="s">
        <v>11</v>
      </c>
      <c r="AB87" t="s">
        <v>3</v>
      </c>
      <c r="AC87">
        <v>0</v>
      </c>
      <c r="AD87">
        <v>50</v>
      </c>
      <c r="AE87">
        <v>96</v>
      </c>
      <c r="AG87">
        <v>0</v>
      </c>
      <c r="AH87">
        <v>1.2</v>
      </c>
      <c r="AI87">
        <v>2.8</v>
      </c>
      <c r="AJ87" s="9">
        <f t="shared" si="91"/>
        <v>0</v>
      </c>
      <c r="AK87" s="9">
        <f t="shared" si="78"/>
        <v>1.1849539102007138</v>
      </c>
      <c r="AL87" s="9">
        <f t="shared" si="79"/>
        <v>2.8466310160453476</v>
      </c>
      <c r="AM87" s="3">
        <f t="shared" si="85"/>
        <v>1</v>
      </c>
      <c r="AN87" s="3">
        <f t="shared" si="86"/>
        <v>0.58373463103521628</v>
      </c>
      <c r="AO87" s="3"/>
      <c r="AP87">
        <v>0</v>
      </c>
      <c r="AQ87">
        <v>0</v>
      </c>
      <c r="AR87">
        <v>8</v>
      </c>
      <c r="AS87">
        <v>0</v>
      </c>
      <c r="AT87">
        <v>0</v>
      </c>
      <c r="AU87">
        <v>0.2</v>
      </c>
      <c r="AV87" s="9">
        <f t="shared" si="80"/>
        <v>0</v>
      </c>
      <c r="AW87" s="9">
        <f t="shared" si="81"/>
        <v>0</v>
      </c>
      <c r="AX87" s="9">
        <f t="shared" si="82"/>
        <v>0.2372192513371123</v>
      </c>
      <c r="AY87" s="3">
        <f t="shared" si="83"/>
        <v>1</v>
      </c>
      <c r="AZ87" s="3">
        <f t="shared" si="84"/>
        <v>1</v>
      </c>
    </row>
    <row r="88" spans="1:52" x14ac:dyDescent="0.25">
      <c r="A88" t="s">
        <v>12</v>
      </c>
      <c r="B88" t="s">
        <v>74</v>
      </c>
      <c r="C88">
        <v>0</v>
      </c>
      <c r="D88">
        <v>0</v>
      </c>
      <c r="E88">
        <v>1</v>
      </c>
      <c r="F88">
        <v>0</v>
      </c>
      <c r="G88">
        <v>0</v>
      </c>
      <c r="H88">
        <v>0</v>
      </c>
      <c r="I88" s="2" t="s">
        <v>12</v>
      </c>
      <c r="J88" t="s">
        <v>74</v>
      </c>
      <c r="K88">
        <v>5</v>
      </c>
      <c r="L88">
        <v>3341</v>
      </c>
      <c r="M88">
        <v>3601</v>
      </c>
      <c r="N88">
        <v>45.5</v>
      </c>
      <c r="O88">
        <v>79.2</v>
      </c>
      <c r="P88">
        <v>107.3</v>
      </c>
      <c r="Q88" s="1">
        <f t="shared" si="92"/>
        <v>10989.010988986836</v>
      </c>
      <c r="R88" s="1">
        <f t="shared" si="89"/>
        <v>4218434.3434290169</v>
      </c>
      <c r="S88" s="1">
        <f t="shared" si="90"/>
        <v>3356011.1835942627</v>
      </c>
      <c r="T88" s="1">
        <f t="shared" si="76"/>
        <v>7585434.5380122662</v>
      </c>
      <c r="U88" s="9">
        <f t="shared" si="93"/>
        <v>0</v>
      </c>
      <c r="V88" s="9">
        <f t="shared" si="87"/>
        <v>0</v>
      </c>
      <c r="W88" s="9">
        <f t="shared" si="88"/>
        <v>2.9797278533768397E-2</v>
      </c>
      <c r="AA88" t="s">
        <v>12</v>
      </c>
      <c r="AB88" t="s">
        <v>3</v>
      </c>
      <c r="AC88">
        <v>1</v>
      </c>
      <c r="AD88">
        <v>50</v>
      </c>
      <c r="AE88">
        <v>101</v>
      </c>
      <c r="AG88">
        <v>9.1</v>
      </c>
      <c r="AH88">
        <v>1.2</v>
      </c>
      <c r="AI88">
        <v>3</v>
      </c>
      <c r="AJ88" s="9">
        <f t="shared" si="91"/>
        <v>9.1000000000200014</v>
      </c>
      <c r="AK88" s="9">
        <f t="shared" si="78"/>
        <v>1.1852738701002694</v>
      </c>
      <c r="AL88" s="9">
        <f t="shared" si="79"/>
        <v>3.0095251319106082</v>
      </c>
      <c r="AM88" s="3">
        <f t="shared" si="85"/>
        <v>-2.023732848591576</v>
      </c>
      <c r="AN88" s="3">
        <f t="shared" si="86"/>
        <v>0.60615917191301416</v>
      </c>
      <c r="AO88" s="3"/>
      <c r="AP88">
        <v>0</v>
      </c>
      <c r="AQ88">
        <v>4</v>
      </c>
      <c r="AR88">
        <v>4</v>
      </c>
      <c r="AS88">
        <v>0</v>
      </c>
      <c r="AT88">
        <v>0.1</v>
      </c>
      <c r="AU88">
        <v>0.1</v>
      </c>
      <c r="AV88" s="9">
        <f t="shared" si="80"/>
        <v>0</v>
      </c>
      <c r="AW88" s="9">
        <f t="shared" si="81"/>
        <v>9.4821909608021546E-2</v>
      </c>
      <c r="AX88" s="9">
        <f t="shared" si="82"/>
        <v>0.11918911413507359</v>
      </c>
      <c r="AY88" s="3">
        <f t="shared" si="83"/>
        <v>1</v>
      </c>
      <c r="AZ88" s="3">
        <f t="shared" si="84"/>
        <v>0.20444152726428855</v>
      </c>
    </row>
    <row r="89" spans="1:52" x14ac:dyDescent="0.25">
      <c r="A89" t="s">
        <v>13</v>
      </c>
      <c r="B89" t="s">
        <v>74</v>
      </c>
      <c r="C89">
        <v>0</v>
      </c>
      <c r="D89">
        <v>0</v>
      </c>
      <c r="E89">
        <v>0</v>
      </c>
      <c r="F89">
        <v>0</v>
      </c>
      <c r="G89">
        <v>0</v>
      </c>
      <c r="H89">
        <v>0</v>
      </c>
      <c r="I89" s="2" t="s">
        <v>13</v>
      </c>
      <c r="J89" t="s">
        <v>74</v>
      </c>
      <c r="K89">
        <v>11</v>
      </c>
      <c r="L89">
        <v>3247</v>
      </c>
      <c r="M89">
        <v>3808</v>
      </c>
      <c r="N89">
        <v>37.700000000000003</v>
      </c>
      <c r="O89">
        <v>77.2</v>
      </c>
      <c r="P89">
        <v>113.7</v>
      </c>
      <c r="Q89" s="1">
        <f t="shared" si="92"/>
        <v>29177.718832813847</v>
      </c>
      <c r="R89" s="1">
        <f t="shared" si="89"/>
        <v>4205958.5492173498</v>
      </c>
      <c r="S89" s="1">
        <f t="shared" si="90"/>
        <v>3349164.4678950314</v>
      </c>
      <c r="T89" s="1">
        <f t="shared" si="76"/>
        <v>7584300.735945195</v>
      </c>
      <c r="U89" s="9">
        <f t="shared" si="93"/>
        <v>0</v>
      </c>
      <c r="V89" s="9">
        <f t="shared" si="87"/>
        <v>0</v>
      </c>
      <c r="W89" s="9">
        <f t="shared" si="88"/>
        <v>0</v>
      </c>
      <c r="AA89" t="s">
        <v>13</v>
      </c>
      <c r="AB89" t="s">
        <v>3</v>
      </c>
      <c r="AC89">
        <v>0</v>
      </c>
      <c r="AD89">
        <v>53</v>
      </c>
      <c r="AE89">
        <v>98</v>
      </c>
      <c r="AG89">
        <v>0</v>
      </c>
      <c r="AH89">
        <v>1.3</v>
      </c>
      <c r="AI89">
        <v>2.9</v>
      </c>
      <c r="AJ89" s="9">
        <f t="shared" si="91"/>
        <v>0</v>
      </c>
      <c r="AK89" s="9">
        <f t="shared" si="78"/>
        <v>1.2601170311072682</v>
      </c>
      <c r="AL89" s="9">
        <f t="shared" si="79"/>
        <v>2.9261029411790442</v>
      </c>
      <c r="AM89" s="3">
        <f t="shared" si="85"/>
        <v>1</v>
      </c>
      <c r="AN89" s="3">
        <f t="shared" si="86"/>
        <v>0.56935314428838357</v>
      </c>
      <c r="AO89" s="3"/>
      <c r="AP89">
        <v>0</v>
      </c>
      <c r="AQ89">
        <v>3</v>
      </c>
      <c r="AR89">
        <v>5</v>
      </c>
      <c r="AS89">
        <v>0</v>
      </c>
      <c r="AT89">
        <v>0.1</v>
      </c>
      <c r="AU89">
        <v>0.1</v>
      </c>
      <c r="AV89" s="9">
        <f t="shared" si="80"/>
        <v>0</v>
      </c>
      <c r="AW89" s="9">
        <f t="shared" si="81"/>
        <v>7.1327379119279333E-2</v>
      </c>
      <c r="AX89" s="9">
        <f t="shared" si="82"/>
        <v>0.14929096638668593</v>
      </c>
      <c r="AY89" s="3">
        <f t="shared" si="83"/>
        <v>1</v>
      </c>
      <c r="AZ89" s="3">
        <f t="shared" si="84"/>
        <v>0.52222575253126324</v>
      </c>
    </row>
    <row r="90" spans="1:52" x14ac:dyDescent="0.25">
      <c r="A90" t="s">
        <v>14</v>
      </c>
      <c r="B90" t="s">
        <v>74</v>
      </c>
      <c r="C90">
        <v>0</v>
      </c>
      <c r="D90">
        <v>0</v>
      </c>
      <c r="E90">
        <v>1</v>
      </c>
      <c r="F90">
        <v>0</v>
      </c>
      <c r="G90">
        <v>0</v>
      </c>
      <c r="H90">
        <v>0</v>
      </c>
      <c r="I90" s="2" t="s">
        <v>14</v>
      </c>
      <c r="J90" t="s">
        <v>74</v>
      </c>
      <c r="K90">
        <v>21</v>
      </c>
      <c r="L90">
        <v>2278</v>
      </c>
      <c r="M90">
        <v>2595</v>
      </c>
      <c r="N90">
        <v>36.200000000000003</v>
      </c>
      <c r="O90">
        <v>54.5</v>
      </c>
      <c r="P90">
        <v>77.599999999999994</v>
      </c>
      <c r="Q90" s="1">
        <f t="shared" si="92"/>
        <v>58011.049723596647</v>
      </c>
      <c r="R90" s="1">
        <f t="shared" si="89"/>
        <v>4179816.5137537983</v>
      </c>
      <c r="S90" s="1">
        <f t="shared" si="90"/>
        <v>3344072.1649441444</v>
      </c>
      <c r="T90" s="1">
        <f t="shared" si="76"/>
        <v>7581899.7284215391</v>
      </c>
      <c r="U90" s="9">
        <f t="shared" si="93"/>
        <v>0</v>
      </c>
      <c r="V90" s="9">
        <f t="shared" si="87"/>
        <v>0</v>
      </c>
      <c r="W90" s="9">
        <f t="shared" si="88"/>
        <v>2.9903660886358381E-2</v>
      </c>
      <c r="AA90" t="s">
        <v>14</v>
      </c>
      <c r="AB90" t="s">
        <v>3</v>
      </c>
      <c r="AC90">
        <v>0</v>
      </c>
      <c r="AD90">
        <v>62</v>
      </c>
      <c r="AE90">
        <v>112</v>
      </c>
      <c r="AG90">
        <v>0</v>
      </c>
      <c r="AH90">
        <v>1.5</v>
      </c>
      <c r="AI90">
        <v>3.3</v>
      </c>
      <c r="AJ90" s="9">
        <f t="shared" si="91"/>
        <v>0</v>
      </c>
      <c r="AK90" s="9">
        <f t="shared" si="78"/>
        <v>1.4833187006172959</v>
      </c>
      <c r="AL90" s="9">
        <f t="shared" si="79"/>
        <v>3.3492100192721384</v>
      </c>
      <c r="AM90" s="3">
        <f t="shared" si="85"/>
        <v>1</v>
      </c>
      <c r="AN90" s="3">
        <f t="shared" si="86"/>
        <v>0.55711385906469502</v>
      </c>
      <c r="AO90" s="3"/>
      <c r="AP90">
        <v>0</v>
      </c>
      <c r="AQ90">
        <v>3</v>
      </c>
      <c r="AR90">
        <v>10</v>
      </c>
      <c r="AS90">
        <v>0</v>
      </c>
      <c r="AT90">
        <v>0.1</v>
      </c>
      <c r="AU90">
        <v>0.3</v>
      </c>
      <c r="AV90" s="9">
        <f t="shared" si="80"/>
        <v>0</v>
      </c>
      <c r="AW90" s="9">
        <f t="shared" si="81"/>
        <v>7.1773485513740132E-2</v>
      </c>
      <c r="AX90" s="9">
        <f t="shared" si="82"/>
        <v>0.2990366088635838</v>
      </c>
      <c r="AY90" s="3">
        <f t="shared" si="83"/>
        <v>1</v>
      </c>
      <c r="AZ90" s="3">
        <f t="shared" si="84"/>
        <v>0.75998428491247982</v>
      </c>
    </row>
    <row r="91" spans="1:52" x14ac:dyDescent="0.25">
      <c r="A91" t="s">
        <v>15</v>
      </c>
      <c r="B91" t="s">
        <v>74</v>
      </c>
      <c r="C91">
        <v>0</v>
      </c>
      <c r="D91">
        <v>0</v>
      </c>
      <c r="E91">
        <v>0</v>
      </c>
      <c r="F91">
        <v>0</v>
      </c>
      <c r="G91">
        <v>0</v>
      </c>
      <c r="H91">
        <v>0</v>
      </c>
      <c r="I91" s="2" t="s">
        <v>15</v>
      </c>
      <c r="J91" t="s">
        <v>74</v>
      </c>
      <c r="K91">
        <v>77</v>
      </c>
      <c r="L91">
        <v>2962</v>
      </c>
      <c r="M91">
        <v>2927</v>
      </c>
      <c r="N91">
        <v>66.599999999999994</v>
      </c>
      <c r="O91">
        <v>71.8</v>
      </c>
      <c r="P91">
        <v>87.7</v>
      </c>
      <c r="Q91" s="1">
        <f t="shared" si="92"/>
        <v>115615.61561544203</v>
      </c>
      <c r="R91" s="1">
        <f t="shared" si="89"/>
        <v>4125348.189409296</v>
      </c>
      <c r="S91" s="1">
        <f t="shared" si="90"/>
        <v>3337514.2531318842</v>
      </c>
      <c r="T91" s="1">
        <f t="shared" si="76"/>
        <v>7578478.0581566226</v>
      </c>
      <c r="U91" s="9">
        <f t="shared" si="93"/>
        <v>0</v>
      </c>
      <c r="V91" s="9">
        <f t="shared" si="87"/>
        <v>0</v>
      </c>
      <c r="W91" s="9">
        <f t="shared" si="88"/>
        <v>0</v>
      </c>
      <c r="AA91" t="s">
        <v>15</v>
      </c>
      <c r="AB91" t="s">
        <v>3</v>
      </c>
      <c r="AC91">
        <v>0</v>
      </c>
      <c r="AD91">
        <v>67</v>
      </c>
      <c r="AE91">
        <v>120</v>
      </c>
      <c r="AG91">
        <v>0</v>
      </c>
      <c r="AH91">
        <v>1.6</v>
      </c>
      <c r="AI91">
        <v>3.6</v>
      </c>
      <c r="AJ91" s="9">
        <f t="shared" si="91"/>
        <v>0</v>
      </c>
      <c r="AK91" s="9">
        <f t="shared" si="78"/>
        <v>1.624105334235888</v>
      </c>
      <c r="AL91" s="9">
        <f t="shared" si="79"/>
        <v>3.5954902630720875</v>
      </c>
      <c r="AM91" s="3">
        <f t="shared" si="85"/>
        <v>1</v>
      </c>
      <c r="AN91" s="3">
        <f t="shared" si="86"/>
        <v>0.5482937748666834</v>
      </c>
      <c r="AO91" s="3"/>
      <c r="AP91">
        <v>0</v>
      </c>
      <c r="AQ91">
        <v>6</v>
      </c>
      <c r="AR91">
        <v>7</v>
      </c>
      <c r="AS91">
        <v>0</v>
      </c>
      <c r="AT91">
        <v>0.1</v>
      </c>
      <c r="AU91">
        <v>0.2</v>
      </c>
      <c r="AV91" s="9">
        <f t="shared" si="80"/>
        <v>0</v>
      </c>
      <c r="AW91" s="9">
        <f t="shared" si="81"/>
        <v>0.14544226873754221</v>
      </c>
      <c r="AX91" s="9">
        <f t="shared" si="82"/>
        <v>0.20973693201253843</v>
      </c>
      <c r="AY91" s="3">
        <f t="shared" si="83"/>
        <v>1</v>
      </c>
      <c r="AZ91" s="3">
        <f t="shared" si="84"/>
        <v>0.30654907868659287</v>
      </c>
    </row>
    <row r="92" spans="1:52" x14ac:dyDescent="0.25">
      <c r="A92" t="s">
        <v>16</v>
      </c>
      <c r="B92" t="s">
        <v>74</v>
      </c>
      <c r="C92">
        <v>1</v>
      </c>
      <c r="D92">
        <v>0</v>
      </c>
      <c r="E92">
        <v>0</v>
      </c>
      <c r="F92">
        <v>0.6</v>
      </c>
      <c r="G92">
        <v>0</v>
      </c>
      <c r="H92">
        <v>0</v>
      </c>
      <c r="I92" s="2" t="s">
        <v>16</v>
      </c>
      <c r="J92" t="s">
        <v>74</v>
      </c>
      <c r="K92">
        <v>75</v>
      </c>
      <c r="L92">
        <v>4104</v>
      </c>
      <c r="M92">
        <v>4924</v>
      </c>
      <c r="N92">
        <v>44.3</v>
      </c>
      <c r="O92">
        <v>100.8</v>
      </c>
      <c r="P92">
        <v>148.1</v>
      </c>
      <c r="Q92" s="1">
        <f>K92*100000/N92</f>
        <v>169300.22573363432</v>
      </c>
      <c r="R92" s="1">
        <f>L92*100000/O92</f>
        <v>4071428.5714285714</v>
      </c>
      <c r="S92" s="1">
        <f>M92*100000/P92</f>
        <v>3324780.5536799459</v>
      </c>
      <c r="T92" s="1">
        <f t="shared" si="76"/>
        <v>7565509.3508421518</v>
      </c>
      <c r="U92" s="9">
        <f t="shared" si="93"/>
        <v>0.59066666666666667</v>
      </c>
      <c r="V92" s="9">
        <f t="shared" si="87"/>
        <v>0</v>
      </c>
      <c r="W92" s="9">
        <f t="shared" si="88"/>
        <v>0</v>
      </c>
      <c r="AA92" t="s">
        <v>16</v>
      </c>
      <c r="AB92" t="s">
        <v>3</v>
      </c>
      <c r="AC92">
        <v>1</v>
      </c>
      <c r="AD92">
        <v>59</v>
      </c>
      <c r="AE92">
        <v>126</v>
      </c>
      <c r="AG92">
        <v>0.6</v>
      </c>
      <c r="AH92">
        <v>1.4</v>
      </c>
      <c r="AI92">
        <v>3.8</v>
      </c>
      <c r="AJ92" s="9">
        <f t="shared" si="91"/>
        <v>0.59066666666666667</v>
      </c>
      <c r="AK92" s="9">
        <f t="shared" si="78"/>
        <v>1.4491228070175439</v>
      </c>
      <c r="AL92" s="9">
        <f t="shared" si="79"/>
        <v>3.7897238017871646</v>
      </c>
      <c r="AM92" s="3">
        <f t="shared" si="85"/>
        <v>0.84413991690156442</v>
      </c>
      <c r="AN92" s="3">
        <f t="shared" si="86"/>
        <v>0.61761783105825185</v>
      </c>
      <c r="AO92" s="3"/>
      <c r="AP92">
        <v>1</v>
      </c>
      <c r="AQ92">
        <v>2</v>
      </c>
      <c r="AR92">
        <v>13</v>
      </c>
      <c r="AS92">
        <v>0.6</v>
      </c>
      <c r="AT92">
        <v>0</v>
      </c>
      <c r="AU92">
        <v>0.4</v>
      </c>
      <c r="AV92" s="9">
        <f t="shared" si="80"/>
        <v>0.59066666666666667</v>
      </c>
      <c r="AW92" s="9">
        <f t="shared" si="81"/>
        <v>4.9122807017543867E-2</v>
      </c>
      <c r="AX92" s="9">
        <f t="shared" si="82"/>
        <v>0.39100324939073922</v>
      </c>
      <c r="AY92" s="3">
        <f t="shared" si="83"/>
        <v>-0.51064388233868319</v>
      </c>
      <c r="AZ92" s="3">
        <f t="shared" si="84"/>
        <v>0.87436726652761332</v>
      </c>
    </row>
    <row r="93" spans="1:52" x14ac:dyDescent="0.25">
      <c r="A93" t="s">
        <v>17</v>
      </c>
      <c r="B93" t="s">
        <v>74</v>
      </c>
      <c r="C93">
        <v>0</v>
      </c>
      <c r="D93">
        <v>0</v>
      </c>
      <c r="E93">
        <v>2</v>
      </c>
      <c r="F93">
        <v>0</v>
      </c>
      <c r="G93">
        <v>0</v>
      </c>
      <c r="H93">
        <v>0.1</v>
      </c>
      <c r="I93" s="2" t="s">
        <v>17</v>
      </c>
      <c r="J93" t="s">
        <v>74</v>
      </c>
      <c r="K93">
        <v>126</v>
      </c>
      <c r="L93">
        <v>4207</v>
      </c>
      <c r="M93">
        <v>4906</v>
      </c>
      <c r="N93">
        <v>57</v>
      </c>
      <c r="O93">
        <v>104.5</v>
      </c>
      <c r="P93">
        <v>148.1</v>
      </c>
      <c r="Q93" s="1">
        <f t="shared" ref="Q93:S96" si="94">K93*100000/(N93+0.0000000001)</f>
        <v>221052.63157855955</v>
      </c>
      <c r="R93" s="1">
        <f t="shared" si="94"/>
        <v>4025837.3205703101</v>
      </c>
      <c r="S93" s="1">
        <f t="shared" si="94"/>
        <v>3312626.6036439487</v>
      </c>
      <c r="T93" s="1">
        <f t="shared" si="76"/>
        <v>7559516.5557928178</v>
      </c>
      <c r="U93" s="9">
        <f t="shared" si="93"/>
        <v>0</v>
      </c>
      <c r="V93" s="9">
        <f t="shared" si="87"/>
        <v>0</v>
      </c>
      <c r="W93" s="9">
        <f t="shared" si="88"/>
        <v>6.037505095805136E-2</v>
      </c>
      <c r="AA93" t="s">
        <v>17</v>
      </c>
      <c r="AB93" t="s">
        <v>3</v>
      </c>
      <c r="AC93">
        <v>0</v>
      </c>
      <c r="AD93">
        <v>52</v>
      </c>
      <c r="AE93">
        <v>133</v>
      </c>
      <c r="AG93">
        <v>0</v>
      </c>
      <c r="AH93">
        <v>1.3</v>
      </c>
      <c r="AI93">
        <v>4</v>
      </c>
      <c r="AJ93" s="9">
        <f t="shared" si="91"/>
        <v>0</v>
      </c>
      <c r="AK93" s="9">
        <f t="shared" si="78"/>
        <v>1.2916567625398623</v>
      </c>
      <c r="AL93" s="9">
        <f t="shared" si="79"/>
        <v>4.0149408887104157</v>
      </c>
      <c r="AM93" s="3">
        <f t="shared" si="85"/>
        <v>1</v>
      </c>
      <c r="AN93" s="3">
        <f t="shared" si="86"/>
        <v>0.67828747711532622</v>
      </c>
      <c r="AO93" s="3"/>
      <c r="AP93">
        <v>0</v>
      </c>
      <c r="AQ93">
        <v>0</v>
      </c>
      <c r="AR93">
        <v>6</v>
      </c>
      <c r="AS93">
        <v>0</v>
      </c>
      <c r="AT93">
        <v>0</v>
      </c>
      <c r="AU93">
        <v>0.2</v>
      </c>
      <c r="AV93" s="9">
        <f t="shared" si="80"/>
        <v>0</v>
      </c>
      <c r="AW93" s="9">
        <f t="shared" si="81"/>
        <v>0</v>
      </c>
      <c r="AX93" s="9">
        <f t="shared" si="82"/>
        <v>0.18112515287415407</v>
      </c>
      <c r="AY93" s="3">
        <f t="shared" si="83"/>
        <v>1</v>
      </c>
      <c r="AZ93" s="3">
        <f t="shared" si="84"/>
        <v>1</v>
      </c>
    </row>
    <row r="94" spans="1:52" x14ac:dyDescent="0.25">
      <c r="A94" t="s">
        <v>18</v>
      </c>
      <c r="B94" t="s">
        <v>74</v>
      </c>
      <c r="C94">
        <v>0</v>
      </c>
      <c r="D94">
        <v>0</v>
      </c>
      <c r="E94">
        <v>0</v>
      </c>
      <c r="F94">
        <v>0</v>
      </c>
      <c r="G94">
        <v>0</v>
      </c>
      <c r="H94">
        <v>0</v>
      </c>
      <c r="I94" s="2" t="s">
        <v>18</v>
      </c>
      <c r="J94" t="s">
        <v>74</v>
      </c>
      <c r="K94">
        <v>133</v>
      </c>
      <c r="L94">
        <v>3643</v>
      </c>
      <c r="M94">
        <v>4672</v>
      </c>
      <c r="N94">
        <v>50.4</v>
      </c>
      <c r="O94">
        <v>91.4</v>
      </c>
      <c r="P94">
        <v>141.5</v>
      </c>
      <c r="Q94" s="1">
        <f t="shared" si="94"/>
        <v>263888.8888883653</v>
      </c>
      <c r="R94" s="1">
        <f t="shared" si="94"/>
        <v>3985776.8052472798</v>
      </c>
      <c r="S94" s="1">
        <f t="shared" si="94"/>
        <v>3301766.7844499638</v>
      </c>
      <c r="T94" s="1">
        <f t="shared" si="76"/>
        <v>7551432.4785856092</v>
      </c>
      <c r="U94" s="9">
        <f t="shared" si="93"/>
        <v>0</v>
      </c>
      <c r="V94" s="9">
        <f t="shared" si="87"/>
        <v>0</v>
      </c>
      <c r="W94" s="9">
        <f t="shared" si="88"/>
        <v>0</v>
      </c>
      <c r="AA94" t="s">
        <v>18</v>
      </c>
      <c r="AB94" t="s">
        <v>3</v>
      </c>
      <c r="AC94">
        <v>1</v>
      </c>
      <c r="AD94">
        <v>52</v>
      </c>
      <c r="AE94">
        <v>142</v>
      </c>
      <c r="AG94">
        <v>0.4</v>
      </c>
      <c r="AH94">
        <v>1.3</v>
      </c>
      <c r="AI94">
        <v>4.3</v>
      </c>
      <c r="AJ94" s="9">
        <f t="shared" si="91"/>
        <v>0.37894736842180449</v>
      </c>
      <c r="AK94" s="9">
        <f t="shared" si="78"/>
        <v>1.3046390337648093</v>
      </c>
      <c r="AL94" s="9">
        <f t="shared" si="79"/>
        <v>4.3007277397290657</v>
      </c>
      <c r="AM94" s="3">
        <f t="shared" si="85"/>
        <v>0.9118876173162086</v>
      </c>
      <c r="AN94" s="3">
        <f t="shared" si="86"/>
        <v>0.69664691356468011</v>
      </c>
      <c r="AO94" s="3"/>
      <c r="AP94">
        <v>1</v>
      </c>
      <c r="AQ94">
        <v>3</v>
      </c>
      <c r="AR94">
        <v>5</v>
      </c>
      <c r="AS94">
        <v>0.4</v>
      </c>
      <c r="AT94">
        <v>0.1</v>
      </c>
      <c r="AU94">
        <v>0.2</v>
      </c>
      <c r="AV94" s="9">
        <f t="shared" si="80"/>
        <v>0.37894736842180449</v>
      </c>
      <c r="AW94" s="9">
        <f t="shared" si="81"/>
        <v>7.526763656335439E-2</v>
      </c>
      <c r="AX94" s="9">
        <f t="shared" si="82"/>
        <v>0.15143407534257275</v>
      </c>
      <c r="AY94" s="3">
        <f t="shared" si="83"/>
        <v>-1.5023916682196745</v>
      </c>
      <c r="AZ94" s="3">
        <f t="shared" si="84"/>
        <v>0.50296763530212973</v>
      </c>
    </row>
    <row r="95" spans="1:52" x14ac:dyDescent="0.25">
      <c r="A95" t="s">
        <v>19</v>
      </c>
      <c r="B95" t="s">
        <v>74</v>
      </c>
      <c r="C95">
        <v>0</v>
      </c>
      <c r="D95">
        <v>1</v>
      </c>
      <c r="E95">
        <v>3</v>
      </c>
      <c r="F95">
        <v>0</v>
      </c>
      <c r="G95">
        <v>0</v>
      </c>
      <c r="H95">
        <v>0.1</v>
      </c>
      <c r="I95" s="2" t="s">
        <v>19</v>
      </c>
      <c r="J95" t="s">
        <v>74</v>
      </c>
      <c r="K95">
        <v>124</v>
      </c>
      <c r="L95">
        <v>3718</v>
      </c>
      <c r="M95">
        <v>4499</v>
      </c>
      <c r="N95">
        <v>40.6</v>
      </c>
      <c r="O95">
        <v>94.1</v>
      </c>
      <c r="P95">
        <v>136.9</v>
      </c>
      <c r="Q95" s="1">
        <f t="shared" si="94"/>
        <v>305418.71921107039</v>
      </c>
      <c r="R95" s="1">
        <f t="shared" si="94"/>
        <v>3951115.8342147171</v>
      </c>
      <c r="S95" s="1">
        <f t="shared" si="94"/>
        <v>3286340.394446102</v>
      </c>
      <c r="T95" s="1">
        <f t="shared" si="76"/>
        <v>7542874.9478718899</v>
      </c>
      <c r="U95" s="9">
        <f t="shared" si="93"/>
        <v>0</v>
      </c>
      <c r="V95" s="9">
        <f t="shared" si="87"/>
        <v>2.5309306078563742E-2</v>
      </c>
      <c r="W95" s="9">
        <f t="shared" si="88"/>
        <v>9.1286952656212492E-2</v>
      </c>
      <c r="AA95" t="s">
        <v>19</v>
      </c>
      <c r="AB95" t="s">
        <v>3</v>
      </c>
      <c r="AC95">
        <v>1</v>
      </c>
      <c r="AD95">
        <v>56</v>
      </c>
      <c r="AE95">
        <v>141</v>
      </c>
      <c r="AG95">
        <v>0.3</v>
      </c>
      <c r="AH95">
        <v>1.4</v>
      </c>
      <c r="AI95">
        <v>4.3</v>
      </c>
      <c r="AJ95" s="9">
        <f t="shared" si="91"/>
        <v>0.32741935483951612</v>
      </c>
      <c r="AK95" s="9">
        <f t="shared" si="78"/>
        <v>1.4173211403995696</v>
      </c>
      <c r="AL95" s="9">
        <f t="shared" si="79"/>
        <v>4.2904867748419875</v>
      </c>
      <c r="AM95" s="3">
        <f t="shared" si="85"/>
        <v>0.92368713108279543</v>
      </c>
      <c r="AN95" s="3">
        <f t="shared" si="86"/>
        <v>0.6696595946384738</v>
      </c>
      <c r="AO95" s="3"/>
      <c r="AP95">
        <v>0</v>
      </c>
      <c r="AQ95">
        <v>4</v>
      </c>
      <c r="AR95">
        <v>8</v>
      </c>
      <c r="AS95">
        <v>0</v>
      </c>
      <c r="AT95">
        <v>0.1</v>
      </c>
      <c r="AU95">
        <v>0.2</v>
      </c>
      <c r="AV95" s="9">
        <f t="shared" si="80"/>
        <v>0</v>
      </c>
      <c r="AW95" s="9">
        <f t="shared" si="81"/>
        <v>0.10123722431425497</v>
      </c>
      <c r="AX95" s="9">
        <f t="shared" si="82"/>
        <v>0.24343187374989997</v>
      </c>
      <c r="AY95" s="3">
        <f t="shared" si="83"/>
        <v>1</v>
      </c>
      <c r="AZ95" s="3">
        <f t="shared" si="84"/>
        <v>0.58412502539307853</v>
      </c>
    </row>
    <row r="96" spans="1:52" x14ac:dyDescent="0.25">
      <c r="A96" t="s">
        <v>20</v>
      </c>
      <c r="B96" t="s">
        <v>74</v>
      </c>
      <c r="C96">
        <v>0</v>
      </c>
      <c r="D96">
        <v>0</v>
      </c>
      <c r="E96">
        <v>0</v>
      </c>
      <c r="F96">
        <v>0</v>
      </c>
      <c r="G96">
        <v>0</v>
      </c>
      <c r="H96">
        <v>0</v>
      </c>
      <c r="I96" s="2" t="s">
        <v>20</v>
      </c>
      <c r="J96" t="s">
        <v>74</v>
      </c>
      <c r="K96">
        <v>114</v>
      </c>
      <c r="L96">
        <v>3354</v>
      </c>
      <c r="M96">
        <v>4407</v>
      </c>
      <c r="N96">
        <v>32.1</v>
      </c>
      <c r="O96">
        <v>85.9</v>
      </c>
      <c r="P96">
        <v>134.30000000000001</v>
      </c>
      <c r="Q96" s="1">
        <f t="shared" si="94"/>
        <v>355140.18691478146</v>
      </c>
      <c r="R96" s="1">
        <f t="shared" si="94"/>
        <v>3904540.1629756638</v>
      </c>
      <c r="S96" s="1">
        <f t="shared" si="94"/>
        <v>3281459.4192082789</v>
      </c>
      <c r="T96" s="1">
        <f t="shared" si="76"/>
        <v>7541139.7690987242</v>
      </c>
      <c r="U96" s="9">
        <f t="shared" si="93"/>
        <v>0</v>
      </c>
      <c r="V96" s="9">
        <f t="shared" si="87"/>
        <v>0</v>
      </c>
      <c r="W96" s="9">
        <f t="shared" si="88"/>
        <v>0</v>
      </c>
      <c r="AA96" t="s">
        <v>20</v>
      </c>
      <c r="AB96" t="s">
        <v>3</v>
      </c>
      <c r="AC96">
        <v>2</v>
      </c>
      <c r="AD96">
        <v>58</v>
      </c>
      <c r="AE96">
        <v>142</v>
      </c>
      <c r="AG96">
        <v>0.6</v>
      </c>
      <c r="AH96">
        <v>1.5</v>
      </c>
      <c r="AI96">
        <v>4.3</v>
      </c>
      <c r="AJ96" s="9">
        <f t="shared" si="91"/>
        <v>0.56315789473859656</v>
      </c>
      <c r="AK96" s="9">
        <f t="shared" si="78"/>
        <v>1.4854502087077519</v>
      </c>
      <c r="AL96" s="9">
        <f t="shared" si="79"/>
        <v>4.3273428636292719</v>
      </c>
      <c r="AM96" s="3">
        <f t="shared" si="85"/>
        <v>0.86986057900060054</v>
      </c>
      <c r="AN96" s="3">
        <f t="shared" si="86"/>
        <v>0.65672925499091861</v>
      </c>
      <c r="AO96" s="3"/>
      <c r="AP96">
        <v>1</v>
      </c>
      <c r="AQ96">
        <v>4</v>
      </c>
      <c r="AR96">
        <v>6</v>
      </c>
      <c r="AS96">
        <v>0.3</v>
      </c>
      <c r="AT96">
        <v>0.1</v>
      </c>
      <c r="AU96">
        <v>0.2</v>
      </c>
      <c r="AV96" s="9">
        <f t="shared" si="80"/>
        <v>0.28157894736929828</v>
      </c>
      <c r="AW96" s="9">
        <f t="shared" si="81"/>
        <v>0.10244484197984498</v>
      </c>
      <c r="AX96" s="9">
        <f t="shared" si="82"/>
        <v>0.18284547311109597</v>
      </c>
      <c r="AY96" s="3">
        <f t="shared" si="83"/>
        <v>-0.53998314849289364</v>
      </c>
      <c r="AZ96" s="3">
        <f t="shared" si="84"/>
        <v>0.43971901389322332</v>
      </c>
    </row>
    <row r="97" spans="1:52" x14ac:dyDescent="0.25">
      <c r="A97" t="s">
        <v>21</v>
      </c>
      <c r="B97" t="s">
        <v>74</v>
      </c>
      <c r="C97">
        <v>0</v>
      </c>
      <c r="D97">
        <v>2</v>
      </c>
      <c r="E97">
        <v>3</v>
      </c>
      <c r="F97">
        <v>0</v>
      </c>
      <c r="G97">
        <v>0.1</v>
      </c>
      <c r="H97">
        <v>0.1</v>
      </c>
      <c r="I97" s="2" t="s">
        <v>21</v>
      </c>
      <c r="J97" t="s">
        <v>74</v>
      </c>
      <c r="K97">
        <v>114</v>
      </c>
      <c r="L97">
        <v>3022</v>
      </c>
      <c r="M97">
        <v>3524</v>
      </c>
      <c r="N97">
        <v>28.4</v>
      </c>
      <c r="O97">
        <v>78.3</v>
      </c>
      <c r="P97">
        <v>107.6</v>
      </c>
      <c r="Q97" s="1">
        <f t="shared" ref="Q97:S99" si="95">K97*100000/N97</f>
        <v>401408.4507042254</v>
      </c>
      <c r="R97" s="1">
        <f t="shared" si="95"/>
        <v>3859514.6871008943</v>
      </c>
      <c r="S97" s="1">
        <f t="shared" si="95"/>
        <v>3275092.936802974</v>
      </c>
      <c r="T97" s="1">
        <f t="shared" si="76"/>
        <v>7536016.0746080941</v>
      </c>
      <c r="U97" s="9">
        <f t="shared" si="93"/>
        <v>0</v>
      </c>
      <c r="V97" s="9">
        <f t="shared" si="87"/>
        <v>5.1819986763732624E-2</v>
      </c>
      <c r="W97" s="9">
        <f t="shared" si="88"/>
        <v>9.1600454029511919E-2</v>
      </c>
      <c r="AA97" t="s">
        <v>21</v>
      </c>
      <c r="AB97" t="s">
        <v>3</v>
      </c>
      <c r="AC97">
        <v>4</v>
      </c>
      <c r="AD97">
        <v>57</v>
      </c>
      <c r="AE97">
        <v>143</v>
      </c>
      <c r="AG97">
        <v>1</v>
      </c>
      <c r="AH97">
        <v>1.5</v>
      </c>
      <c r="AI97">
        <v>4.4000000000000004</v>
      </c>
      <c r="AJ97" s="9">
        <f t="shared" si="91"/>
        <v>0.99649122807017532</v>
      </c>
      <c r="AK97" s="9">
        <f t="shared" si="78"/>
        <v>1.4768696227663798</v>
      </c>
      <c r="AL97" s="9">
        <f t="shared" si="79"/>
        <v>4.3662883087400681</v>
      </c>
      <c r="AM97" s="3">
        <f t="shared" si="85"/>
        <v>0.77177612708819909</v>
      </c>
      <c r="AN97" s="3">
        <f t="shared" si="86"/>
        <v>0.66175627481810895</v>
      </c>
      <c r="AO97" s="3"/>
      <c r="AP97">
        <v>0</v>
      </c>
      <c r="AQ97">
        <v>3</v>
      </c>
      <c r="AR97">
        <v>4</v>
      </c>
      <c r="AS97">
        <v>0</v>
      </c>
      <c r="AT97">
        <v>0.1</v>
      </c>
      <c r="AU97">
        <v>0.1</v>
      </c>
      <c r="AV97" s="9">
        <f t="shared" si="80"/>
        <v>0</v>
      </c>
      <c r="AW97" s="9">
        <f t="shared" si="81"/>
        <v>7.772998014559894E-2</v>
      </c>
      <c r="AX97" s="9">
        <f t="shared" si="82"/>
        <v>0.1221339387060159</v>
      </c>
      <c r="AY97" s="3">
        <f t="shared" si="83"/>
        <v>1</v>
      </c>
      <c r="AZ97" s="3">
        <f t="shared" si="84"/>
        <v>0.36356772761828382</v>
      </c>
    </row>
    <row r="98" spans="1:52" x14ac:dyDescent="0.25">
      <c r="A98" t="s">
        <v>22</v>
      </c>
      <c r="B98" t="s">
        <v>74</v>
      </c>
      <c r="C98">
        <v>0</v>
      </c>
      <c r="D98">
        <v>0</v>
      </c>
      <c r="E98">
        <v>2</v>
      </c>
      <c r="F98">
        <v>0</v>
      </c>
      <c r="G98">
        <v>0</v>
      </c>
      <c r="H98">
        <v>0.1</v>
      </c>
      <c r="I98" s="2" t="s">
        <v>22</v>
      </c>
      <c r="J98" t="s">
        <v>74</v>
      </c>
      <c r="K98">
        <v>160</v>
      </c>
      <c r="L98">
        <v>2881</v>
      </c>
      <c r="M98">
        <v>3162</v>
      </c>
      <c r="N98">
        <v>32.9</v>
      </c>
      <c r="O98">
        <v>76.2</v>
      </c>
      <c r="P98">
        <v>97</v>
      </c>
      <c r="Q98" s="1">
        <f t="shared" si="95"/>
        <v>486322.18844984804</v>
      </c>
      <c r="R98" s="1">
        <f t="shared" si="95"/>
        <v>3780839.8950131233</v>
      </c>
      <c r="S98" s="1">
        <f t="shared" si="95"/>
        <v>3259793.8144329898</v>
      </c>
      <c r="T98" s="1">
        <f t="shared" si="76"/>
        <v>7526955.8978959611</v>
      </c>
      <c r="U98" s="9">
        <f t="shared" si="93"/>
        <v>0</v>
      </c>
      <c r="V98" s="9">
        <f t="shared" si="87"/>
        <v>0</v>
      </c>
      <c r="W98" s="9">
        <f t="shared" si="88"/>
        <v>6.1353573687539527E-2</v>
      </c>
      <c r="AA98" t="s">
        <v>22</v>
      </c>
      <c r="AB98" t="s">
        <v>3</v>
      </c>
      <c r="AC98">
        <v>6</v>
      </c>
      <c r="AD98">
        <v>62</v>
      </c>
      <c r="AE98">
        <v>159</v>
      </c>
      <c r="AG98">
        <v>1.2</v>
      </c>
      <c r="AH98">
        <v>1.6</v>
      </c>
      <c r="AI98">
        <v>4.9000000000000004</v>
      </c>
      <c r="AJ98" s="9">
        <f t="shared" si="91"/>
        <v>1.2337499999999999</v>
      </c>
      <c r="AK98" s="9">
        <f t="shared" si="78"/>
        <v>1.6398472752516486</v>
      </c>
      <c r="AL98" s="9">
        <f t="shared" si="79"/>
        <v>4.8776091081593931</v>
      </c>
      <c r="AM98" s="3">
        <f t="shared" si="85"/>
        <v>0.74705845166310059</v>
      </c>
      <c r="AN98" s="3">
        <f t="shared" si="86"/>
        <v>0.66380100600753988</v>
      </c>
      <c r="AO98" s="3"/>
      <c r="AP98">
        <v>0</v>
      </c>
      <c r="AQ98">
        <v>3</v>
      </c>
      <c r="AR98">
        <v>7</v>
      </c>
      <c r="AS98">
        <v>0</v>
      </c>
      <c r="AT98">
        <v>0.1</v>
      </c>
      <c r="AU98">
        <v>0.2</v>
      </c>
      <c r="AV98" s="9">
        <f t="shared" si="80"/>
        <v>0</v>
      </c>
      <c r="AW98" s="9">
        <f t="shared" si="81"/>
        <v>7.9347448802499138E-2</v>
      </c>
      <c r="AX98" s="9">
        <f t="shared" si="82"/>
        <v>0.21473750790638835</v>
      </c>
      <c r="AY98" s="3">
        <f t="shared" si="83"/>
        <v>1</v>
      </c>
      <c r="AZ98" s="3">
        <f t="shared" si="84"/>
        <v>0.63049096743224986</v>
      </c>
    </row>
    <row r="99" spans="1:52" x14ac:dyDescent="0.25">
      <c r="A99" t="s">
        <v>23</v>
      </c>
      <c r="B99" t="s">
        <v>74</v>
      </c>
      <c r="C99">
        <v>0</v>
      </c>
      <c r="D99">
        <v>0</v>
      </c>
      <c r="E99">
        <v>1</v>
      </c>
      <c r="F99">
        <v>0</v>
      </c>
      <c r="G99">
        <v>0</v>
      </c>
      <c r="H99">
        <v>0</v>
      </c>
      <c r="I99" s="2" t="s">
        <v>23</v>
      </c>
      <c r="J99" t="s">
        <v>74</v>
      </c>
      <c r="K99">
        <v>210</v>
      </c>
      <c r="L99">
        <v>4008</v>
      </c>
      <c r="M99">
        <v>6092</v>
      </c>
      <c r="N99">
        <v>37.200000000000003</v>
      </c>
      <c r="O99">
        <v>108.1</v>
      </c>
      <c r="P99">
        <v>187.9</v>
      </c>
      <c r="Q99" s="1">
        <f t="shared" si="95"/>
        <v>564516.12903225806</v>
      </c>
      <c r="R99" s="1">
        <f t="shared" si="95"/>
        <v>3707678.0758556896</v>
      </c>
      <c r="S99" s="1">
        <f t="shared" si="95"/>
        <v>3242150.0798296966</v>
      </c>
      <c r="T99" s="1">
        <f t="shared" si="76"/>
        <v>7514344.2847176446</v>
      </c>
      <c r="U99" s="9">
        <f t="shared" si="93"/>
        <v>0</v>
      </c>
      <c r="V99" s="9">
        <f t="shared" si="87"/>
        <v>0</v>
      </c>
      <c r="W99" s="9">
        <f t="shared" si="88"/>
        <v>3.0843729481286938E-2</v>
      </c>
      <c r="AA99" t="s">
        <v>23</v>
      </c>
      <c r="AB99" t="s">
        <v>3</v>
      </c>
      <c r="AC99">
        <v>7</v>
      </c>
      <c r="AD99">
        <v>58</v>
      </c>
      <c r="AE99">
        <v>163</v>
      </c>
      <c r="AG99">
        <v>1.2</v>
      </c>
      <c r="AH99">
        <v>1.6</v>
      </c>
      <c r="AI99">
        <v>5</v>
      </c>
      <c r="AJ99" s="9">
        <f t="shared" si="91"/>
        <v>1.24</v>
      </c>
      <c r="AK99" s="9">
        <f t="shared" si="78"/>
        <v>1.5643213572854289</v>
      </c>
      <c r="AL99" s="9">
        <f t="shared" si="79"/>
        <v>5.0275279054497704</v>
      </c>
      <c r="AM99" s="3">
        <f t="shared" si="85"/>
        <v>0.75335790803749547</v>
      </c>
      <c r="AN99" s="3">
        <f t="shared" si="86"/>
        <v>0.68884879672378818</v>
      </c>
      <c r="AO99" s="3"/>
      <c r="AP99">
        <v>2</v>
      </c>
      <c r="AQ99">
        <v>2</v>
      </c>
      <c r="AR99">
        <v>14</v>
      </c>
      <c r="AS99">
        <v>0.4</v>
      </c>
      <c r="AT99">
        <v>0.1</v>
      </c>
      <c r="AU99">
        <v>0.4</v>
      </c>
      <c r="AV99" s="9">
        <f t="shared" si="80"/>
        <v>0.35428571428571431</v>
      </c>
      <c r="AW99" s="9">
        <f t="shared" si="81"/>
        <v>5.3942115768463063E-2</v>
      </c>
      <c r="AX99" s="9">
        <f t="shared" si="82"/>
        <v>0.43181221273801712</v>
      </c>
      <c r="AY99" s="3">
        <f t="shared" si="83"/>
        <v>0.17953753081860735</v>
      </c>
      <c r="AZ99" s="3">
        <f t="shared" si="84"/>
        <v>0.87507968932506763</v>
      </c>
    </row>
    <row r="100" spans="1:52" x14ac:dyDescent="0.25">
      <c r="A100" t="s">
        <v>24</v>
      </c>
      <c r="B100" t="s">
        <v>74</v>
      </c>
      <c r="C100">
        <v>0</v>
      </c>
      <c r="D100">
        <v>1</v>
      </c>
      <c r="E100">
        <v>1</v>
      </c>
      <c r="F100">
        <v>0</v>
      </c>
      <c r="G100">
        <v>0</v>
      </c>
      <c r="H100">
        <v>0</v>
      </c>
      <c r="I100" s="2" t="s">
        <v>24</v>
      </c>
      <c r="J100" t="s">
        <v>74</v>
      </c>
      <c r="K100">
        <v>233</v>
      </c>
      <c r="L100">
        <v>3755</v>
      </c>
      <c r="M100">
        <v>5581</v>
      </c>
      <c r="N100">
        <v>36</v>
      </c>
      <c r="O100">
        <v>103.4</v>
      </c>
      <c r="P100">
        <v>173.1</v>
      </c>
      <c r="Q100" s="1">
        <f>K100*100000/(N100+0.0000000001)</f>
        <v>647222.22222042433</v>
      </c>
      <c r="R100" s="1">
        <f>L100*100000/(O100+0.0000000001)</f>
        <v>3631528.0464181509</v>
      </c>
      <c r="S100" s="1">
        <f>M100*100000/(P100+0.0000000001)</f>
        <v>3224147.8913903967</v>
      </c>
      <c r="T100" s="1">
        <f t="shared" si="76"/>
        <v>7502898.1600289717</v>
      </c>
      <c r="U100" s="9">
        <f t="shared" si="93"/>
        <v>0</v>
      </c>
      <c r="V100" s="9">
        <f t="shared" si="87"/>
        <v>2.7536617842902799E-2</v>
      </c>
      <c r="W100" s="9">
        <f t="shared" si="88"/>
        <v>3.1015946962927789E-2</v>
      </c>
      <c r="AA100" t="s">
        <v>24</v>
      </c>
      <c r="AB100" t="s">
        <v>3</v>
      </c>
      <c r="AC100">
        <v>6</v>
      </c>
      <c r="AD100">
        <v>55</v>
      </c>
      <c r="AE100">
        <v>157</v>
      </c>
      <c r="AG100">
        <v>0.9</v>
      </c>
      <c r="AH100">
        <v>1.5</v>
      </c>
      <c r="AI100">
        <v>4.9000000000000004</v>
      </c>
      <c r="AJ100" s="9">
        <f t="shared" si="91"/>
        <v>0.9270386266120173</v>
      </c>
      <c r="AK100" s="9">
        <f t="shared" si="78"/>
        <v>1.514513981359654</v>
      </c>
      <c r="AL100" s="9">
        <f t="shared" si="79"/>
        <v>4.8695036731796622</v>
      </c>
      <c r="AM100" s="3">
        <f t="shared" si="85"/>
        <v>0.80962359024021757</v>
      </c>
      <c r="AN100" s="3">
        <f t="shared" si="86"/>
        <v>0.68897980512853485</v>
      </c>
      <c r="AO100" s="3"/>
      <c r="AP100">
        <v>0</v>
      </c>
      <c r="AQ100">
        <v>2</v>
      </c>
      <c r="AR100">
        <v>7</v>
      </c>
      <c r="AS100">
        <v>0</v>
      </c>
      <c r="AT100">
        <v>0.1</v>
      </c>
      <c r="AU100">
        <v>0.2</v>
      </c>
      <c r="AV100" s="9">
        <f t="shared" si="80"/>
        <v>0</v>
      </c>
      <c r="AW100" s="9">
        <f t="shared" si="81"/>
        <v>5.5073235685805598E-2</v>
      </c>
      <c r="AX100" s="9">
        <f t="shared" si="82"/>
        <v>0.2171116287404945</v>
      </c>
      <c r="AY100" s="3">
        <f t="shared" si="83"/>
        <v>1</v>
      </c>
      <c r="AZ100" s="3">
        <f t="shared" si="84"/>
        <v>0.74633677613080507</v>
      </c>
    </row>
    <row r="102" spans="1:52" x14ac:dyDescent="0.25">
      <c r="A102" t="s">
        <v>49</v>
      </c>
      <c r="B102" t="s">
        <v>50</v>
      </c>
      <c r="C102">
        <f>SUM(C71:C101)</f>
        <v>1</v>
      </c>
      <c r="D102">
        <f t="shared" ref="D102" si="96">SUM(D71:D101)</f>
        <v>9</v>
      </c>
      <c r="E102">
        <f t="shared" ref="E102" si="97">SUM(E71:E101)</f>
        <v>23</v>
      </c>
      <c r="Q102" s="1">
        <f>AVERAGE(Q71:Q100)</f>
        <v>385136.70226346975</v>
      </c>
      <c r="R102" s="1">
        <f t="shared" ref="R102:S102" si="98">AVERAGE(R71:R100)</f>
        <v>3870427.2814460197</v>
      </c>
      <c r="S102" s="1">
        <f t="shared" si="98"/>
        <v>3300793.8506776071</v>
      </c>
      <c r="T102" s="1">
        <f>SUM(Q102:S102)</f>
        <v>7556357.8343870956</v>
      </c>
    </row>
    <row r="103" spans="1:52" x14ac:dyDescent="0.25">
      <c r="Q103" s="3">
        <f>Q102/T102</f>
        <v>5.0968563255542096E-2</v>
      </c>
      <c r="R103" s="3">
        <f>R102/T102</f>
        <v>0.51220804602882519</v>
      </c>
      <c r="S103" s="3">
        <f>S102/T102</f>
        <v>0.43682339071563281</v>
      </c>
      <c r="U103" s="9">
        <f>C102/Q102*100000</f>
        <v>0.25964806628995485</v>
      </c>
      <c r="V103" s="9">
        <f t="shared" ref="V103" si="99">D102/R102*100000</f>
        <v>0.23253246594100938</v>
      </c>
      <c r="W103" s="9">
        <f t="shared" ref="W103" si="100">E102/S102*100000</f>
        <v>0.69680207369746583</v>
      </c>
      <c r="X103" s="3">
        <f t="shared" ref="X103" si="101">1-U103/W103</f>
        <v>0.62737185193468936</v>
      </c>
      <c r="Y103" s="3">
        <f t="shared" ref="Y103" si="102">1-V103/W103</f>
        <v>0.66628620275609396</v>
      </c>
      <c r="AA103" t="s">
        <v>49</v>
      </c>
      <c r="AB103" t="s">
        <v>50</v>
      </c>
      <c r="AC103">
        <f t="shared" ref="AC103:AD103" si="103">SUM(AC71:AC100)</f>
        <v>100</v>
      </c>
      <c r="AD103">
        <f t="shared" si="103"/>
        <v>1437</v>
      </c>
      <c r="AE103">
        <f>SUM(AE71:AE100)</f>
        <v>3716</v>
      </c>
      <c r="AJ103" s="9">
        <f>AC103/Q102*100000</f>
        <v>25.96480662899549</v>
      </c>
      <c r="AK103" s="9">
        <f t="shared" ref="AK103" si="104">AD103/R102*100000</f>
        <v>37.127683728581161</v>
      </c>
      <c r="AL103" s="9">
        <f t="shared" ref="AL103" si="105">AE103/S102*100000</f>
        <v>112.57897851564273</v>
      </c>
      <c r="AM103" s="3">
        <f t="shared" ref="AM103" si="106">1-AJ103/AL103</f>
        <v>0.76936363279057729</v>
      </c>
      <c r="AN103" s="3">
        <f t="shared" ref="AN103" si="107">1-AK103/AL103</f>
        <v>0.67020766915714813</v>
      </c>
      <c r="AO103" s="3"/>
      <c r="AP103">
        <f>SUM(AP72:AP102)</f>
        <v>8</v>
      </c>
      <c r="AQ103">
        <f t="shared" ref="AQ103" si="108">SUM(AQ72:AQ102)</f>
        <v>79</v>
      </c>
      <c r="AR103">
        <f t="shared" ref="AR103" si="109">SUM(AR72:AR102)</f>
        <v>195</v>
      </c>
      <c r="AV103" s="9">
        <f>AP103/Q102*100000</f>
        <v>2.0771845303196388</v>
      </c>
      <c r="AW103" s="9">
        <f t="shared" ref="AW103" si="110">AQ103/R102*100000</f>
        <v>2.0411183121488601</v>
      </c>
      <c r="AX103" s="9">
        <f t="shared" ref="AX103" si="111">AR103/S102*100000</f>
        <v>5.9076697552611233</v>
      </c>
      <c r="AY103" s="3">
        <f t="shared" ref="AY103" si="112">1-AV103/AX103</f>
        <v>0.64839190131273239</v>
      </c>
      <c r="AZ103" s="3">
        <f t="shared" ref="AZ103" si="113">1-AW103/AX103</f>
        <v>0.65449688342326084</v>
      </c>
    </row>
    <row r="104" spans="1:52" x14ac:dyDescent="0.25">
      <c r="A104" t="s">
        <v>71</v>
      </c>
    </row>
    <row r="105" spans="1:52" x14ac:dyDescent="0.25">
      <c r="A105" t="s">
        <v>59</v>
      </c>
      <c r="B105" t="s">
        <v>60</v>
      </c>
    </row>
  </sheetData>
  <autoFilter ref="A2:S101" xr:uid="{781F4FFF-BA12-824F-9836-89FE5F0BAF1B}"/>
  <sortState xmlns:xlrd2="http://schemas.microsoft.com/office/spreadsheetml/2017/richdata2" ref="AA3:AU106">
    <sortCondition ref="AB3:AB106"/>
    <sortCondition ref="AA3:AA106"/>
  </sortState>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נפטרים יומי - מצב התחסנות...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tomaz</dc:creator>
  <cp:lastModifiedBy>Reviewer</cp:lastModifiedBy>
  <dcterms:created xsi:type="dcterms:W3CDTF">2021-09-08T20:01:27Z</dcterms:created>
  <dcterms:modified xsi:type="dcterms:W3CDTF">2021-11-21T10:16:19Z</dcterms:modified>
</cp:coreProperties>
</file>